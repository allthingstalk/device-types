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on Drive\IoT\éolane\Movee LoRa\Delivery\"/>
    </mc:Choice>
  </mc:AlternateContent>
  <bookViews>
    <workbookView xWindow="0" yWindow="0" windowWidth="18336" windowHeight="9012"/>
  </bookViews>
  <sheets>
    <sheet name="Parameters" sheetId="1" r:id="rId1"/>
    <sheet name="Commands" sheetId="2" r:id="rId2"/>
  </sheets>
  <definedNames>
    <definedName name="_xlnm._FilterDatabase" localSheetId="1" hidden="1">Commands!$A$1:$F$21</definedName>
    <definedName name="_xlnm._FilterDatabase" localSheetId="0" hidden="1">Parameters!$A$1:$F$116</definedName>
    <definedName name="_ftn1" localSheetId="1">Commands!#REF!</definedName>
    <definedName name="_ftn1" localSheetId="0">Parameters!$D$32</definedName>
    <definedName name="_ftnref1" localSheetId="1">Commands!#REF!</definedName>
    <definedName name="_ftnref1" localSheetId="0">Parameters!$D$27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5" i="1" l="1"/>
  <c r="Q54" i="1"/>
  <c r="Q53" i="1"/>
  <c r="Q52" i="1"/>
  <c r="Q51" i="1"/>
  <c r="Q56" i="1"/>
  <c r="Q50" i="1"/>
  <c r="Q49" i="1"/>
  <c r="Q48" i="1"/>
  <c r="Q47" i="1" l="1"/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I3" i="2"/>
  <c r="I4" i="2"/>
  <c r="I5" i="2"/>
  <c r="I6" i="2"/>
  <c r="I7" i="2"/>
  <c r="I9" i="2"/>
  <c r="I10" i="2"/>
  <c r="I11" i="2"/>
  <c r="I12" i="2"/>
  <c r="I14" i="2"/>
  <c r="I16" i="2"/>
  <c r="I17" i="2"/>
  <c r="I18" i="2"/>
  <c r="I19" i="2"/>
  <c r="I20" i="2"/>
  <c r="I21" i="2"/>
  <c r="I2" i="2"/>
  <c r="K116" i="1"/>
  <c r="K115" i="1"/>
  <c r="K114" i="1"/>
  <c r="K113" i="1"/>
  <c r="K112" i="1"/>
  <c r="K111" i="1"/>
  <c r="K110" i="1"/>
  <c r="K108" i="1"/>
  <c r="K107" i="1"/>
  <c r="K106" i="1"/>
  <c r="K100" i="1"/>
  <c r="K99" i="1"/>
  <c r="K98" i="1"/>
  <c r="K85" i="1"/>
  <c r="K84" i="1"/>
  <c r="K75" i="1"/>
  <c r="K73" i="1"/>
  <c r="K72" i="1"/>
  <c r="K69" i="1"/>
  <c r="K68" i="1"/>
  <c r="K67" i="1"/>
  <c r="K64" i="1"/>
  <c r="K63" i="1"/>
  <c r="K62" i="1"/>
  <c r="K61" i="1"/>
  <c r="K60" i="1"/>
  <c r="K59" i="1"/>
  <c r="K58" i="1"/>
  <c r="K57" i="1"/>
  <c r="K50" i="1"/>
  <c r="K49" i="1"/>
  <c r="K47" i="1"/>
  <c r="K46" i="1"/>
  <c r="K45" i="1"/>
  <c r="K44" i="1"/>
  <c r="K29" i="1"/>
  <c r="K28" i="1"/>
  <c r="K15" i="1"/>
  <c r="K6" i="1"/>
  <c r="Q46" i="1"/>
  <c r="Q45" i="1"/>
  <c r="Q44" i="1"/>
  <c r="Q43" i="1"/>
  <c r="Q42" i="1"/>
  <c r="Q41" i="1"/>
  <c r="I4" i="1" l="1"/>
  <c r="B7" i="2" l="1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I13" i="2" s="1"/>
  <c r="B21" i="2"/>
  <c r="B6" i="2"/>
  <c r="B5" i="2"/>
  <c r="B4" i="2"/>
  <c r="B3" i="2"/>
  <c r="B2" i="2"/>
  <c r="J107" i="1"/>
  <c r="J116" i="1"/>
  <c r="J115" i="1"/>
  <c r="J114" i="1"/>
  <c r="J113" i="1"/>
  <c r="J112" i="1"/>
  <c r="J111" i="1"/>
  <c r="J110" i="1"/>
  <c r="J109" i="1"/>
  <c r="K109" i="1" s="1"/>
  <c r="J108" i="1"/>
  <c r="J106" i="1"/>
  <c r="J100" i="1"/>
  <c r="J99" i="1"/>
  <c r="J98" i="1"/>
  <c r="J97" i="1"/>
  <c r="K97" i="1" s="1"/>
  <c r="J96" i="1"/>
  <c r="K96" i="1" s="1"/>
  <c r="J95" i="1"/>
  <c r="K95" i="1" s="1"/>
  <c r="J94" i="1"/>
  <c r="K94" i="1" s="1"/>
  <c r="J93" i="1"/>
  <c r="K93" i="1" s="1"/>
  <c r="J87" i="1"/>
  <c r="K87" i="1" s="1"/>
  <c r="J86" i="1"/>
  <c r="K86" i="1" s="1"/>
  <c r="J85" i="1"/>
  <c r="J84" i="1"/>
  <c r="J83" i="1"/>
  <c r="K83" i="1" s="1"/>
  <c r="J82" i="1"/>
  <c r="K82" i="1" s="1"/>
  <c r="J76" i="1"/>
  <c r="K76" i="1" s="1"/>
  <c r="J75" i="1"/>
  <c r="J74" i="1"/>
  <c r="K74" i="1" s="1"/>
  <c r="J73" i="1"/>
  <c r="J72" i="1"/>
  <c r="J71" i="1"/>
  <c r="K71" i="1" s="1"/>
  <c r="J70" i="1"/>
  <c r="K70" i="1" s="1"/>
  <c r="J69" i="1"/>
  <c r="J68" i="1"/>
  <c r="J67" i="1"/>
  <c r="J64" i="1"/>
  <c r="J63" i="1"/>
  <c r="J62" i="1"/>
  <c r="J61" i="1"/>
  <c r="J60" i="1"/>
  <c r="J59" i="1"/>
  <c r="J58" i="1"/>
  <c r="J57" i="1"/>
  <c r="J56" i="1"/>
  <c r="K56" i="1" s="1"/>
  <c r="J50" i="1"/>
  <c r="J49" i="1"/>
  <c r="J48" i="1"/>
  <c r="K48" i="1" s="1"/>
  <c r="J47" i="1"/>
  <c r="J42" i="1"/>
  <c r="K42" i="1" s="1"/>
  <c r="J40" i="1"/>
  <c r="K40" i="1" s="1"/>
  <c r="J37" i="1"/>
  <c r="K37" i="1" s="1"/>
  <c r="J6" i="1"/>
  <c r="I116" i="1"/>
  <c r="I115" i="1"/>
  <c r="I114" i="1"/>
  <c r="I113" i="1"/>
  <c r="I112" i="1"/>
  <c r="I111" i="1"/>
  <c r="I110" i="1"/>
  <c r="I109" i="1"/>
  <c r="I108" i="1"/>
  <c r="I107" i="1"/>
  <c r="I106" i="1"/>
  <c r="I100" i="1"/>
  <c r="I99" i="1"/>
  <c r="I98" i="1"/>
  <c r="I97" i="1"/>
  <c r="I96" i="1"/>
  <c r="I95" i="1"/>
  <c r="I94" i="1"/>
  <c r="I93" i="1"/>
  <c r="I87" i="1"/>
  <c r="I86" i="1"/>
  <c r="I85" i="1"/>
  <c r="I84" i="1"/>
  <c r="I83" i="1"/>
  <c r="I82" i="1"/>
  <c r="I76" i="1"/>
  <c r="I75" i="1"/>
  <c r="I74" i="1"/>
  <c r="I73" i="1"/>
  <c r="I72" i="1"/>
  <c r="I71" i="1"/>
  <c r="I70" i="1"/>
  <c r="I69" i="1"/>
  <c r="I68" i="1"/>
  <c r="I67" i="1"/>
  <c r="I64" i="1"/>
  <c r="I63" i="1"/>
  <c r="I62" i="1"/>
  <c r="I61" i="1"/>
  <c r="I60" i="1"/>
  <c r="I59" i="1"/>
  <c r="I58" i="1"/>
  <c r="I57" i="1"/>
  <c r="I56" i="1"/>
  <c r="I50" i="1"/>
  <c r="I49" i="1"/>
  <c r="I48" i="1"/>
  <c r="I47" i="1"/>
  <c r="I46" i="1"/>
  <c r="J46" i="1" s="1"/>
  <c r="I45" i="1"/>
  <c r="J45" i="1" s="1"/>
  <c r="I44" i="1"/>
  <c r="J44" i="1" s="1"/>
  <c r="I43" i="1"/>
  <c r="J43" i="1" s="1"/>
  <c r="K43" i="1" s="1"/>
  <c r="I42" i="1"/>
  <c r="I41" i="1"/>
  <c r="J41" i="1" s="1"/>
  <c r="K41" i="1" s="1"/>
  <c r="I40" i="1"/>
  <c r="I39" i="1"/>
  <c r="J39" i="1" s="1"/>
  <c r="K39" i="1" s="1"/>
  <c r="I38" i="1"/>
  <c r="J38" i="1" s="1"/>
  <c r="K38" i="1" s="1"/>
  <c r="I37" i="1"/>
  <c r="I36" i="1"/>
  <c r="I35" i="1"/>
  <c r="I29" i="1"/>
  <c r="I28" i="1"/>
  <c r="I27" i="1"/>
  <c r="I26" i="1"/>
  <c r="I25" i="1"/>
  <c r="I24" i="1"/>
  <c r="I23" i="1"/>
  <c r="I22" i="1"/>
  <c r="I21" i="1"/>
  <c r="I15" i="1"/>
  <c r="I14" i="1"/>
  <c r="J14" i="1" s="1"/>
  <c r="I13" i="1"/>
  <c r="J13" i="1" s="1"/>
  <c r="K13" i="1" s="1"/>
  <c r="I6" i="1"/>
  <c r="I5" i="1"/>
  <c r="J5" i="1" s="1"/>
  <c r="K5" i="1" s="1"/>
  <c r="I3" i="1"/>
  <c r="J3" i="1" s="1"/>
  <c r="K3" i="1" s="1"/>
  <c r="I2" i="1"/>
  <c r="B3" i="1"/>
  <c r="B2" i="1"/>
  <c r="B4" i="1"/>
  <c r="J4" i="1" s="1"/>
  <c r="K4" i="1" s="1"/>
  <c r="B5" i="1"/>
  <c r="B6" i="1"/>
  <c r="B13" i="1"/>
  <c r="B15" i="1"/>
  <c r="B14" i="1"/>
  <c r="K14" i="1" l="1"/>
  <c r="I8" i="2"/>
  <c r="I15" i="2"/>
  <c r="J2" i="1"/>
  <c r="J15" i="1"/>
  <c r="L9" i="2"/>
  <c r="B30" i="1"/>
  <c r="B31" i="1"/>
  <c r="B32" i="1"/>
  <c r="B33" i="1"/>
  <c r="B34" i="1"/>
  <c r="B115" i="1"/>
  <c r="B116" i="1"/>
  <c r="N1" i="2" l="1"/>
  <c r="K2" i="1"/>
  <c r="B101" i="1"/>
  <c r="B102" i="1"/>
  <c r="B103" i="1"/>
  <c r="B104" i="1"/>
  <c r="B105" i="1"/>
  <c r="B88" i="1"/>
  <c r="B89" i="1"/>
  <c r="B90" i="1"/>
  <c r="B91" i="1"/>
  <c r="B92" i="1"/>
  <c r="B77" i="1"/>
  <c r="B78" i="1"/>
  <c r="B79" i="1"/>
  <c r="B80" i="1"/>
  <c r="B81" i="1"/>
  <c r="B65" i="1"/>
  <c r="B66" i="1"/>
  <c r="B67" i="1"/>
  <c r="B68" i="1"/>
  <c r="B69" i="1"/>
  <c r="B51" i="1"/>
  <c r="B52" i="1"/>
  <c r="B53" i="1"/>
  <c r="B54" i="1"/>
  <c r="B55" i="1"/>
  <c r="B16" i="1"/>
  <c r="B17" i="1"/>
  <c r="B18" i="1"/>
  <c r="B19" i="1"/>
  <c r="B20" i="1"/>
  <c r="B7" i="1"/>
  <c r="B8" i="1"/>
  <c r="B9" i="1"/>
  <c r="B10" i="1"/>
  <c r="B11" i="1"/>
  <c r="B12" i="1"/>
  <c r="L7" i="2" l="1"/>
  <c r="N15" i="2"/>
  <c r="B114" i="1"/>
  <c r="B113" i="1"/>
  <c r="B112" i="1"/>
  <c r="B111" i="1"/>
  <c r="B110" i="1"/>
  <c r="B109" i="1"/>
  <c r="B108" i="1"/>
  <c r="B107" i="1"/>
  <c r="B106" i="1"/>
  <c r="B100" i="1"/>
  <c r="B99" i="1"/>
  <c r="B98" i="1"/>
  <c r="B97" i="1"/>
  <c r="B96" i="1"/>
  <c r="B95" i="1"/>
  <c r="B94" i="1"/>
  <c r="B93" i="1"/>
  <c r="B87" i="1"/>
  <c r="B86" i="1"/>
  <c r="B85" i="1"/>
  <c r="B84" i="1"/>
  <c r="B83" i="1"/>
  <c r="B82" i="1"/>
  <c r="B76" i="1"/>
  <c r="B75" i="1"/>
  <c r="B74" i="1"/>
  <c r="B73" i="1"/>
  <c r="B72" i="1"/>
  <c r="B71" i="1"/>
  <c r="B70" i="1"/>
  <c r="B64" i="1"/>
  <c r="B63" i="1"/>
  <c r="B62" i="1"/>
  <c r="B61" i="1"/>
  <c r="B60" i="1"/>
  <c r="B59" i="1"/>
  <c r="B58" i="1"/>
  <c r="B57" i="1"/>
  <c r="B56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J36" i="1" s="1"/>
  <c r="K36" i="1" s="1"/>
  <c r="B35" i="1"/>
  <c r="J35" i="1" s="1"/>
  <c r="K35" i="1" s="1"/>
  <c r="B29" i="1"/>
  <c r="J29" i="1" s="1"/>
  <c r="B28" i="1"/>
  <c r="J28" i="1" s="1"/>
  <c r="B27" i="1"/>
  <c r="J27" i="1" s="1"/>
  <c r="K27" i="1" s="1"/>
  <c r="B26" i="1"/>
  <c r="J26" i="1" s="1"/>
  <c r="K26" i="1" s="1"/>
  <c r="B25" i="1"/>
  <c r="J25" i="1" s="1"/>
  <c r="K25" i="1" s="1"/>
  <c r="B24" i="1"/>
  <c r="J24" i="1" s="1"/>
  <c r="K24" i="1" s="1"/>
  <c r="B23" i="1"/>
  <c r="J23" i="1" s="1"/>
  <c r="K23" i="1" s="1"/>
  <c r="B22" i="1"/>
  <c r="J22" i="1" s="1"/>
  <c r="K22" i="1" s="1"/>
  <c r="B21" i="1"/>
  <c r="J21" i="1" s="1"/>
  <c r="P1" i="1" l="1"/>
  <c r="R26" i="1" s="1"/>
  <c r="K21" i="1"/>
  <c r="M21" i="1" s="1"/>
  <c r="M13" i="1" l="1"/>
</calcChain>
</file>

<file path=xl/sharedStrings.xml><?xml version="1.0" encoding="utf-8"?>
<sst xmlns="http://schemas.openxmlformats.org/spreadsheetml/2006/main" count="486" uniqueCount="157">
  <si>
    <t>Nom</t>
  </si>
  <si>
    <t>Description</t>
  </si>
  <si>
    <t>maxRange</t>
  </si>
  <si>
    <t>modeRefresh</t>
  </si>
  <si>
    <t>period</t>
  </si>
  <si>
    <t>nbSavedValue</t>
  </si>
  <si>
    <t>gxSup</t>
  </si>
  <si>
    <t>gxInf</t>
  </si>
  <si>
    <t>gySup</t>
  </si>
  <si>
    <t>gyInf</t>
  </si>
  <si>
    <t>gzSup</t>
  </si>
  <si>
    <t>gzInf</t>
  </si>
  <si>
    <t>inhibition</t>
  </si>
  <si>
    <t>removeGravity</t>
  </si>
  <si>
    <t>freq</t>
  </si>
  <si>
    <t>timerX</t>
  </si>
  <si>
    <t>timerY</t>
  </si>
  <si>
    <t>sensitivity</t>
  </si>
  <si>
    <t>activity</t>
  </si>
  <si>
    <t>additionateActivity</t>
  </si>
  <si>
    <t>periodicActivity</t>
  </si>
  <si>
    <t>activityResumePeriod</t>
  </si>
  <si>
    <t>loraAtStartMvt</t>
  </si>
  <si>
    <t>loraAtStopMvt</t>
  </si>
  <si>
    <t>modeThreshold</t>
  </si>
  <si>
    <t>max</t>
  </si>
  <si>
    <t>min</t>
  </si>
  <si>
    <t>delta</t>
  </si>
  <si>
    <t>fastPeriod</t>
  </si>
  <si>
    <t>ultraFastPeriod</t>
  </si>
  <si>
    <t>Temp</t>
  </si>
  <si>
    <t>modeOnMove</t>
  </si>
  <si>
    <t>pitch</t>
  </si>
  <si>
    <t>roll</t>
  </si>
  <si>
    <t>threshold</t>
  </si>
  <si>
    <t>Tilt</t>
  </si>
  <si>
    <t>lap</t>
  </si>
  <si>
    <t>resetLap</t>
  </si>
  <si>
    <t>Rotation</t>
  </si>
  <si>
    <t>mesureLenght</t>
  </si>
  <si>
    <t>yaw</t>
  </si>
  <si>
    <t>Orient</t>
  </si>
  <si>
    <t>onX</t>
  </si>
  <si>
    <t>onY</t>
  </si>
  <si>
    <t>onZ</t>
  </si>
  <si>
    <t>amplitudeX</t>
  </si>
  <si>
    <t>amplitudeY</t>
  </si>
  <si>
    <t>amplitudeZ</t>
  </si>
  <si>
    <t>freqMin</t>
  </si>
  <si>
    <t>freqMax</t>
  </si>
  <si>
    <t>Vibe</t>
  </si>
  <si>
    <t>Mvt</t>
  </si>
  <si>
    <t>Choc</t>
  </si>
  <si>
    <t>Alive</t>
  </si>
  <si>
    <t>Réservé</t>
  </si>
  <si>
    <t>ID (entier)</t>
  </si>
  <si>
    <t>ID (hexa)</t>
  </si>
  <si>
    <t>Select Algo</t>
  </si>
  <si>
    <t>Reboot</t>
  </si>
  <si>
    <t>NO</t>
  </si>
  <si>
    <t>YES</t>
  </si>
  <si>
    <t>0</t>
  </si>
  <si>
    <t>alertPeriod</t>
  </si>
  <si>
    <t>poweroff</t>
  </si>
  <si>
    <t>zoneDetection</t>
  </si>
  <si>
    <t>alertMultiple</t>
  </si>
  <si>
    <t>signedMeasure</t>
  </si>
  <si>
    <t>LoRa</t>
  </si>
  <si>
    <t>JRERROR</t>
  </si>
  <si>
    <t>DEFAULT_DR</t>
  </si>
  <si>
    <t>…</t>
  </si>
  <si>
    <t>EOF</t>
  </si>
  <si>
    <t>ID</t>
  </si>
  <si>
    <t>0xFF</t>
  </si>
  <si>
    <t>Présence</t>
  </si>
  <si>
    <t>Obligatoire</t>
  </si>
  <si>
    <t>Optionnelle</t>
  </si>
  <si>
    <t>MPU</t>
  </si>
  <si>
    <t>DL</t>
  </si>
  <si>
    <t>orientation</t>
  </si>
  <si>
    <t>Algorithm</t>
  </si>
  <si>
    <t>Name</t>
  </si>
  <si>
    <t>New value</t>
  </si>
  <si>
    <t>Contents</t>
  </si>
  <si>
    <t>Size (bytes)</t>
  </si>
  <si>
    <t>Value</t>
  </si>
  <si>
    <t>Parameter 1</t>
  </si>
  <si>
    <t>Parameter 2</t>
  </si>
  <si>
    <t>Parameter 10</t>
  </si>
  <si>
    <t>ID commande 1</t>
  </si>
  <si>
    <t>ID commande 2</t>
  </si>
  <si>
    <t>ID commande 3</t>
  </si>
  <si>
    <t>Taille</t>
  </si>
  <si>
    <t>1 octet</t>
  </si>
  <si>
    <t>Optionnel</t>
  </si>
  <si>
    <t>FRAME TO SEND ON PORT 1</t>
  </si>
  <si>
    <t>FRAME TO SEND ON PORT 2</t>
  </si>
  <si>
    <t>Description de la composition d'un DL de commande</t>
  </si>
  <si>
    <t>Description de la composition d'un DL pour modifier les paramètres</t>
  </si>
  <si>
    <t>reboot ?</t>
  </si>
  <si>
    <t>Enable Acknowlegde on LoRa Frame</t>
  </si>
  <si>
    <t>SET ACK 1</t>
  </si>
  <si>
    <t>SET ACK 0</t>
  </si>
  <si>
    <t>Disable Acknowlegde on LoRa Frame</t>
  </si>
  <si>
    <t>SET ADR 1</t>
  </si>
  <si>
    <t>SET ADR 0</t>
  </si>
  <si>
    <t>LED ON</t>
  </si>
  <si>
    <t>LED OFF</t>
  </si>
  <si>
    <t>VERSION</t>
  </si>
  <si>
    <t>Returns a LoRa Frame that contains all version information</t>
  </si>
  <si>
    <t>ALIVE</t>
  </si>
  <si>
    <t>TEMP</t>
  </si>
  <si>
    <t>SHOCK</t>
  </si>
  <si>
    <t>TILT</t>
  </si>
  <si>
    <t>ORIENT</t>
  </si>
  <si>
    <t>MOTION</t>
  </si>
  <si>
    <t>ACTIVITY</t>
  </si>
  <si>
    <t>ROTATION</t>
  </si>
  <si>
    <t>VIBRATION</t>
  </si>
  <si>
    <t>Debug</t>
  </si>
  <si>
    <t>DUMP RAM PARAM</t>
  </si>
  <si>
    <t>DUMP FLASH PARAM</t>
  </si>
  <si>
    <t>Send it ?</t>
  </si>
  <si>
    <t xml:space="preserve">Select the algorithm you want to enable </t>
  </si>
  <si>
    <t>Type</t>
  </si>
  <si>
    <t>Action</t>
  </si>
  <si>
    <t>Clear param</t>
  </si>
  <si>
    <t>Set all parameters to 0</t>
  </si>
  <si>
    <t>Reset param</t>
  </si>
  <si>
    <t>Reset User parameters to Factory values</t>
  </si>
  <si>
    <t>Reboot Movee</t>
  </si>
  <si>
    <t>Used after a manual change of parameters value</t>
  </si>
  <si>
    <t>Service mode ON</t>
  </si>
  <si>
    <t>Service mode OFF</t>
  </si>
  <si>
    <t>Enter into service mode</t>
  </si>
  <si>
    <t>Exit from service mode</t>
  </si>
  <si>
    <t>Save Algo parameters</t>
  </si>
  <si>
    <t>Enable debug mode</t>
  </si>
  <si>
    <t>Disable debug mode</t>
  </si>
  <si>
    <t>User</t>
  </si>
  <si>
    <t>Algo</t>
  </si>
  <si>
    <t>Reserved</t>
  </si>
  <si>
    <t>Disable Adaptive datarate of LoRaWAN</t>
  </si>
  <si>
    <t>Enable Adaptive datarate of LoRaWAN</t>
  </si>
  <si>
    <t>Used to show more debug messages</t>
  </si>
  <si>
    <t>Used to show more information on what the movee is doing (with the RGB led)</t>
  </si>
  <si>
    <t>Normal operation</t>
  </si>
  <si>
    <t>Dump saved user parameters</t>
  </si>
  <si>
    <t>Dump parameters actually used</t>
  </si>
  <si>
    <t>Version Movee : v2.0</t>
  </si>
  <si>
    <t>NO CHANGE</t>
  </si>
  <si>
    <t>Payload :</t>
  </si>
  <si>
    <t>Algorithms</t>
  </si>
  <si>
    <t>State</t>
  </si>
  <si>
    <t>ACTIVATED</t>
  </si>
  <si>
    <t>DISABLED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</si>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</sst>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Gill Sans MT"/>
      <family val="2"/>
    </font>
    <font>
      <i/>
      <sz val="10"/>
      <color theme="1"/>
      <name val="Gill Sans MT"/>
      <family val="2"/>
    </font>
    <font>
      <b/>
      <sz val="11"/>
      <color theme="1"/>
      <name val="Cambria"/>
      <family val="1"/>
    </font>
    <font>
      <b/>
      <sz val="12"/>
      <color theme="1"/>
      <name val="Cambria"/>
      <family val="1"/>
    </font>
    <font>
      <b/>
      <sz val="11"/>
      <color theme="0"/>
      <name val="Cambria"/>
      <family val="1"/>
    </font>
    <font>
      <b/>
      <sz val="12"/>
      <color theme="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9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5" fillId="0" borderId="1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3" borderId="0" xfId="2" applyBorder="1"/>
    <xf numFmtId="0" fontId="2" fillId="2" borderId="0" xfId="1" applyBorder="1"/>
    <xf numFmtId="0" fontId="2" fillId="2" borderId="0" xfId="1" quotePrefix="1" applyBorder="1"/>
    <xf numFmtId="0" fontId="0" fillId="0" borderId="0" xfId="0" applyBorder="1"/>
    <xf numFmtId="0" fontId="2" fillId="3" borderId="8" xfId="2" applyBorder="1"/>
    <xf numFmtId="0" fontId="2" fillId="2" borderId="8" xfId="1" applyBorder="1"/>
    <xf numFmtId="0" fontId="2" fillId="3" borderId="10" xfId="2" applyBorder="1" applyAlignment="1">
      <alignment horizontal="right"/>
    </xf>
    <xf numFmtId="0" fontId="0" fillId="3" borderId="11" xfId="2" applyFont="1" applyBorder="1"/>
    <xf numFmtId="0" fontId="2" fillId="3" borderId="11" xfId="2" applyBorder="1"/>
    <xf numFmtId="0" fontId="2" fillId="3" borderId="12" xfId="2" applyBorder="1" applyAlignment="1">
      <alignment horizontal="right"/>
    </xf>
    <xf numFmtId="0" fontId="2" fillId="2" borderId="12" xfId="1" applyBorder="1" applyAlignment="1">
      <alignment horizontal="right"/>
    </xf>
    <xf numFmtId="0" fontId="2" fillId="2" borderId="13" xfId="1" applyBorder="1" applyAlignment="1">
      <alignment horizontal="right"/>
    </xf>
    <xf numFmtId="0" fontId="2" fillId="2" borderId="14" xfId="1" applyBorder="1"/>
    <xf numFmtId="0" fontId="2" fillId="3" borderId="13" xfId="2" applyBorder="1" applyAlignment="1">
      <alignment horizontal="right"/>
    </xf>
    <xf numFmtId="0" fontId="2" fillId="3" borderId="14" xfId="2" applyBorder="1"/>
    <xf numFmtId="0" fontId="2" fillId="2" borderId="10" xfId="1" applyBorder="1" applyAlignment="1">
      <alignment horizontal="right"/>
    </xf>
    <xf numFmtId="0" fontId="2" fillId="2" borderId="11" xfId="1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" borderId="15" xfId="2" applyBorder="1"/>
    <xf numFmtId="0" fontId="0" fillId="3" borderId="16" xfId="2" applyFont="1" applyBorder="1"/>
    <xf numFmtId="0" fontId="2" fillId="2" borderId="17" xfId="1" applyBorder="1"/>
    <xf numFmtId="0" fontId="2" fillId="2" borderId="6" xfId="1" applyBorder="1"/>
    <xf numFmtId="0" fontId="2" fillId="2" borderId="5" xfId="1" applyBorder="1"/>
    <xf numFmtId="0" fontId="2" fillId="3" borderId="16" xfId="2" applyBorder="1"/>
    <xf numFmtId="0" fontId="2" fillId="3" borderId="17" xfId="2" applyBorder="1"/>
    <xf numFmtId="0" fontId="2" fillId="3" borderId="6" xfId="2" applyBorder="1"/>
    <xf numFmtId="0" fontId="2" fillId="3" borderId="5" xfId="2" applyBorder="1"/>
    <xf numFmtId="0" fontId="2" fillId="2" borderId="15" xfId="1" applyBorder="1"/>
    <xf numFmtId="0" fontId="2" fillId="2" borderId="16" xfId="1" applyBorder="1"/>
    <xf numFmtId="0" fontId="0" fillId="3" borderId="5" xfId="2" applyFont="1" applyBorder="1"/>
    <xf numFmtId="0" fontId="0" fillId="3" borderId="14" xfId="2" applyFont="1" applyBorder="1"/>
    <xf numFmtId="0" fontId="2" fillId="3" borderId="18" xfId="2" applyBorder="1" applyAlignment="1">
      <alignment wrapText="1"/>
    </xf>
    <xf numFmtId="0" fontId="2" fillId="3" borderId="19" xfId="2" applyBorder="1" applyAlignment="1">
      <alignment wrapText="1"/>
    </xf>
    <xf numFmtId="0" fontId="2" fillId="2" borderId="18" xfId="1" applyBorder="1"/>
    <xf numFmtId="0" fontId="2" fillId="2" borderId="19" xfId="1" applyBorder="1"/>
    <xf numFmtId="0" fontId="2" fillId="2" borderId="4" xfId="1" applyBorder="1"/>
    <xf numFmtId="0" fontId="2" fillId="3" borderId="18" xfId="2" applyBorder="1"/>
    <xf numFmtId="0" fontId="2" fillId="3" borderId="19" xfId="2" applyBorder="1"/>
    <xf numFmtId="0" fontId="2" fillId="3" borderId="4" xfId="2" applyBorder="1"/>
    <xf numFmtId="0" fontId="9" fillId="4" borderId="7" xfId="3" applyFont="1" applyBorder="1" applyAlignment="1">
      <alignment horizontal="center" vertical="center"/>
    </xf>
    <xf numFmtId="0" fontId="9" fillId="4" borderId="9" xfId="3" applyFont="1" applyBorder="1" applyAlignment="1">
      <alignment horizontal="center" vertical="center"/>
    </xf>
    <xf numFmtId="0" fontId="9" fillId="4" borderId="3" xfId="3" applyFont="1" applyBorder="1" applyAlignment="1">
      <alignment horizontal="center" vertical="center"/>
    </xf>
    <xf numFmtId="0" fontId="9" fillId="4" borderId="2" xfId="3" applyFont="1" applyBorder="1" applyAlignment="1">
      <alignment horizontal="center" vertical="center"/>
    </xf>
    <xf numFmtId="0" fontId="9" fillId="4" borderId="0" xfId="3" applyFont="1" applyAlignment="1">
      <alignment horizontal="center" vertical="center"/>
    </xf>
    <xf numFmtId="0" fontId="9" fillId="4" borderId="1" xfId="3" applyFont="1" applyBorder="1" applyAlignment="1">
      <alignment horizontal="center" vertical="center"/>
    </xf>
    <xf numFmtId="0" fontId="9" fillId="4" borderId="0" xfId="3" applyFont="1" applyAlignment="1">
      <alignment vertical="center"/>
    </xf>
    <xf numFmtId="0" fontId="5" fillId="0" borderId="2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justify" vertical="center" wrapText="1"/>
    </xf>
    <xf numFmtId="0" fontId="9" fillId="4" borderId="0" xfId="3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0" borderId="20" xfId="0" applyFont="1" applyBorder="1" applyAlignment="1">
      <alignment vertical="center" wrapText="1"/>
    </xf>
    <xf numFmtId="0" fontId="0" fillId="0" borderId="21" xfId="0" applyBorder="1"/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vertical="center" wrapText="1"/>
    </xf>
    <xf numFmtId="0" fontId="0" fillId="0" borderId="24" xfId="0" applyBorder="1"/>
    <xf numFmtId="0" fontId="4" fillId="0" borderId="25" xfId="0" applyFont="1" applyBorder="1" applyAlignment="1">
      <alignment horizontal="center" vertical="center" wrapText="1"/>
    </xf>
    <xf numFmtId="0" fontId="2" fillId="2" borderId="18" xfId="1" applyBorder="1" applyAlignment="1">
      <alignment horizontal="center" vertical="center"/>
    </xf>
    <xf numFmtId="0" fontId="9" fillId="4" borderId="7" xfId="3" applyFont="1" applyBorder="1" applyAlignment="1">
      <alignment horizontal="right" vertical="center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9" fillId="4" borderId="12" xfId="3" applyFont="1" applyBorder="1" applyAlignment="1">
      <alignment horizontal="center" vertical="center"/>
    </xf>
    <xf numFmtId="0" fontId="9" fillId="4" borderId="0" xfId="3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4" borderId="0" xfId="3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9" fillId="4" borderId="0" xfId="3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4" borderId="0" xfId="3" applyFont="1" applyAlignment="1">
      <alignment horizontal="left" vertical="center"/>
    </xf>
    <xf numFmtId="0" fontId="0" fillId="0" borderId="6" xfId="0" applyBorder="1" applyAlignment="1">
      <alignment horizontal="center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vertical="center" wrapText="1"/>
    </xf>
    <xf numFmtId="0" fontId="0" fillId="0" borderId="28" xfId="0" applyBorder="1"/>
    <xf numFmtId="0" fontId="5" fillId="5" borderId="1" xfId="0" applyFont="1" applyFill="1" applyBorder="1" applyAlignment="1">
      <alignment horizontal="center" vertical="center" wrapText="1"/>
    </xf>
  </cellXfs>
  <cellStyles count="4">
    <cellStyle name="20 % - Accent1" xfId="1" builtinId="30"/>
    <cellStyle name="40 % - Accent1" xfId="2" builtinId="31"/>
    <cellStyle name="Accent5" xfId="3" builtinId="45"/>
    <cellStyle name="Normal" xfId="0" builtinId="0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strike val="0"/>
        <color theme="0"/>
      </font>
      <fill>
        <patternFill>
          <bgColor rgb="FFFF5353"/>
        </patternFill>
      </fill>
    </dxf>
    <dxf>
      <fill>
        <patternFill>
          <bgColor rgb="FFFFC00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116"/>
  <sheetViews>
    <sheetView tabSelected="1" topLeftCell="B1" workbookViewId="0">
      <pane ySplit="1" topLeftCell="A2" activePane="bottomLeft" state="frozen"/>
      <selection pane="bottomLeft" activeCell="H2" sqref="H2"/>
    </sheetView>
  </sheetViews>
  <sheetFormatPr baseColWidth="10" defaultRowHeight="14.4" x14ac:dyDescent="0.3"/>
  <cols>
    <col min="1" max="1" width="11.44140625" hidden="1" customWidth="1"/>
    <col min="2" max="2" width="11.33203125" style="10" bestFit="1" customWidth="1"/>
    <col min="3" max="3" width="13.33203125" style="10" bestFit="1" customWidth="1"/>
    <col min="4" max="4" width="20.5546875" style="10" bestFit="1" customWidth="1"/>
    <col min="5" max="5" width="13.44140625" style="10" bestFit="1" customWidth="1"/>
    <col min="6" max="6" width="9.6640625" style="10" bestFit="1" customWidth="1"/>
    <col min="7" max="7" width="1" customWidth="1"/>
    <col min="8" max="8" width="16.33203125" bestFit="1" customWidth="1"/>
    <col min="9" max="11" width="11.44140625" hidden="1" customWidth="1"/>
    <col min="12" max="12" width="1" customWidth="1"/>
    <col min="17" max="17" width="11.44140625" hidden="1" customWidth="1"/>
    <col min="23" max="23" width="78" customWidth="1"/>
  </cols>
  <sheetData>
    <row r="1" spans="1:23" ht="22.5" customHeight="1" thickBot="1" x14ac:dyDescent="0.35">
      <c r="A1" s="1" t="s">
        <v>55</v>
      </c>
      <c r="B1" s="48" t="s">
        <v>56</v>
      </c>
      <c r="C1" s="49" t="s">
        <v>80</v>
      </c>
      <c r="D1" s="50" t="s">
        <v>81</v>
      </c>
      <c r="E1" s="50" t="s">
        <v>1</v>
      </c>
      <c r="F1" s="51" t="s">
        <v>58</v>
      </c>
      <c r="H1" s="53" t="s">
        <v>82</v>
      </c>
      <c r="I1" s="75" t="s">
        <v>78</v>
      </c>
      <c r="J1" s="76"/>
      <c r="K1" s="58" t="s">
        <v>99</v>
      </c>
      <c r="M1" s="84" t="s">
        <v>96</v>
      </c>
      <c r="N1" s="84"/>
      <c r="O1" s="84"/>
      <c r="P1" s="80" t="str">
        <f>CONCATENATE(J2,J3,J4,J5,J6,J13,J14,J15,J21,J22,J23,J24,J25,J26,J27,J28,J29,J35,J36,J37,J38,J39,J40,J41,J42,J43,J44,J45,J46,J47,J48,J49,J50,J56,J57,J58,J59,J60,J61,J62,J63,J64,J67,J68,J69,J70,J71,J72,J73,J74,J75,J76,J82,J83,J84,J85,J86,J87,J93,J94,J95,J96,J97,J98,J99,J100,J106,J107,J108,J109,J110,J111,J112,J113,J114,J115,J116,"FF")</f>
        <v>FF</v>
      </c>
      <c r="Q1" s="76"/>
      <c r="R1" s="80"/>
      <c r="S1" s="80"/>
      <c r="T1" s="80"/>
      <c r="U1" s="80"/>
      <c r="V1" s="80"/>
      <c r="W1" s="80"/>
    </row>
    <row r="2" spans="1:23" ht="15" thickBot="1" x14ac:dyDescent="0.35">
      <c r="A2">
        <v>0</v>
      </c>
      <c r="B2" s="13" t="str">
        <f>DEC2HEX(A2,2)</f>
        <v>00</v>
      </c>
      <c r="C2" s="14" t="s">
        <v>77</v>
      </c>
      <c r="D2" s="27" t="s">
        <v>79</v>
      </c>
      <c r="E2" s="15"/>
      <c r="F2" s="28" t="s">
        <v>60</v>
      </c>
      <c r="H2" s="40"/>
      <c r="I2" s="2" t="str">
        <f t="shared" ref="I2:I6" si="0">DEC2HEX(H2,8)</f>
        <v>00000000</v>
      </c>
      <c r="J2" t="str">
        <f>IF(H2="","",CONCATENATE(B2,I2))</f>
        <v/>
      </c>
      <c r="K2">
        <f t="shared" ref="K2:K6" si="1">IF(F2="YES",IF(J2&lt;&gt;"",1,),)</f>
        <v>0</v>
      </c>
      <c r="M2" s="85" t="s">
        <v>98</v>
      </c>
      <c r="N2" s="86"/>
      <c r="O2" s="86"/>
      <c r="P2" s="86"/>
      <c r="Q2" s="86"/>
      <c r="R2" s="86"/>
      <c r="S2" s="86"/>
      <c r="T2" s="86"/>
      <c r="U2" s="86"/>
      <c r="V2" s="87"/>
    </row>
    <row r="3" spans="1:23" ht="17.399999999999999" thickBot="1" x14ac:dyDescent="0.35">
      <c r="A3">
        <v>1</v>
      </c>
      <c r="B3" s="20" t="str">
        <f>DEC2HEX(A3,2)</f>
        <v>01</v>
      </c>
      <c r="C3" s="39" t="s">
        <v>77</v>
      </c>
      <c r="D3" s="34" t="s">
        <v>2</v>
      </c>
      <c r="E3" s="21"/>
      <c r="F3" s="38" t="s">
        <v>60</v>
      </c>
      <c r="H3" s="41"/>
      <c r="I3" s="2" t="str">
        <f t="shared" si="0"/>
        <v>00000000</v>
      </c>
      <c r="J3" t="str">
        <f t="shared" ref="J3:J6" si="2">IF(H3="","",CONCATENATE(B3,I3))</f>
        <v/>
      </c>
      <c r="K3">
        <f t="shared" si="1"/>
        <v>0</v>
      </c>
      <c r="M3" s="3" t="s">
        <v>81</v>
      </c>
      <c r="N3" s="81" t="s">
        <v>86</v>
      </c>
      <c r="O3" s="82"/>
      <c r="P3" s="81" t="s">
        <v>87</v>
      </c>
      <c r="Q3" s="83"/>
      <c r="R3" s="82"/>
      <c r="S3" s="4" t="s">
        <v>70</v>
      </c>
      <c r="T3" s="81" t="s">
        <v>88</v>
      </c>
      <c r="U3" s="82"/>
      <c r="V3" s="4" t="s">
        <v>71</v>
      </c>
    </row>
    <row r="4" spans="1:23" ht="17.399999999999999" thickBot="1" x14ac:dyDescent="0.35">
      <c r="A4">
        <v>2</v>
      </c>
      <c r="B4" s="17" t="str">
        <f>DEC2HEX(A4,2)</f>
        <v>02</v>
      </c>
      <c r="C4" s="12" t="s">
        <v>57</v>
      </c>
      <c r="D4" s="9" t="s">
        <v>61</v>
      </c>
      <c r="E4" s="12"/>
      <c r="F4" s="29" t="s">
        <v>60</v>
      </c>
      <c r="H4" s="66" t="s">
        <v>150</v>
      </c>
      <c r="I4" s="2">
        <f>IF(H4="TO UPDATE",DEC2HEX(SUM(Q56:Q56),8),0)</f>
        <v>0</v>
      </c>
      <c r="J4" t="str">
        <f>IF(I4=0,"",CONCATENATE(B4,Q47))</f>
        <v/>
      </c>
      <c r="K4">
        <f t="shared" si="1"/>
        <v>0</v>
      </c>
      <c r="M4" s="5" t="s">
        <v>83</v>
      </c>
      <c r="N4" s="6" t="s">
        <v>72</v>
      </c>
      <c r="O4" s="6" t="s">
        <v>85</v>
      </c>
      <c r="P4" s="6" t="s">
        <v>72</v>
      </c>
      <c r="Q4" s="6"/>
      <c r="R4" s="6" t="s">
        <v>85</v>
      </c>
      <c r="S4" s="6"/>
      <c r="T4" s="6" t="s">
        <v>72</v>
      </c>
      <c r="U4" s="6" t="s">
        <v>85</v>
      </c>
      <c r="V4" s="6" t="s">
        <v>73</v>
      </c>
    </row>
    <row r="5" spans="1:23" ht="17.399999999999999" thickBot="1" x14ac:dyDescent="0.35">
      <c r="A5">
        <v>3</v>
      </c>
      <c r="B5" s="17" t="str">
        <f>DEC2HEX(A5,2)</f>
        <v>03</v>
      </c>
      <c r="C5" s="12" t="s">
        <v>57</v>
      </c>
      <c r="D5" s="8" t="s">
        <v>62</v>
      </c>
      <c r="E5" s="12"/>
      <c r="F5" s="29" t="s">
        <v>60</v>
      </c>
      <c r="H5" s="43"/>
      <c r="I5" s="2" t="str">
        <f t="shared" si="0"/>
        <v>00000000</v>
      </c>
      <c r="J5" t="str">
        <f t="shared" si="2"/>
        <v/>
      </c>
      <c r="K5">
        <f t="shared" si="1"/>
        <v>0</v>
      </c>
      <c r="M5" s="5" t="s">
        <v>84</v>
      </c>
      <c r="N5" s="6">
        <v>1</v>
      </c>
      <c r="O5" s="6">
        <v>4</v>
      </c>
      <c r="P5" s="6">
        <v>1</v>
      </c>
      <c r="Q5" s="6"/>
      <c r="R5" s="6">
        <v>4</v>
      </c>
      <c r="S5" s="6" t="s">
        <v>70</v>
      </c>
      <c r="T5" s="6">
        <v>1</v>
      </c>
      <c r="U5" s="6">
        <v>4</v>
      </c>
      <c r="V5" s="6">
        <v>1</v>
      </c>
    </row>
    <row r="6" spans="1:23" ht="17.399999999999999" thickBot="1" x14ac:dyDescent="0.35">
      <c r="A6">
        <v>4</v>
      </c>
      <c r="B6" s="18" t="str">
        <f>DEC2HEX(A6,2)</f>
        <v>04</v>
      </c>
      <c r="C6" s="19" t="s">
        <v>57</v>
      </c>
      <c r="D6" s="30" t="s">
        <v>63</v>
      </c>
      <c r="E6" s="19"/>
      <c r="F6" s="31" t="s">
        <v>59</v>
      </c>
      <c r="H6" s="44"/>
      <c r="I6" s="2" t="str">
        <f t="shared" si="0"/>
        <v>00000000</v>
      </c>
      <c r="J6" t="str">
        <f t="shared" si="2"/>
        <v/>
      </c>
      <c r="K6">
        <f t="shared" si="1"/>
        <v>0</v>
      </c>
      <c r="M6" s="5" t="s">
        <v>74</v>
      </c>
      <c r="N6" s="81" t="s">
        <v>75</v>
      </c>
      <c r="O6" s="82"/>
      <c r="P6" s="88" t="s">
        <v>76</v>
      </c>
      <c r="Q6" s="89"/>
      <c r="R6" s="90"/>
      <c r="S6" s="6" t="s">
        <v>70</v>
      </c>
      <c r="T6" s="88" t="s">
        <v>76</v>
      </c>
      <c r="U6" s="90"/>
      <c r="V6" s="6" t="s">
        <v>75</v>
      </c>
    </row>
    <row r="7" spans="1:23" ht="15" hidden="1" thickBot="1" x14ac:dyDescent="0.35">
      <c r="A7">
        <v>5</v>
      </c>
      <c r="B7" s="2" t="str">
        <f t="shared" ref="B7:B12" si="3">DEC2HEX(A7)</f>
        <v>5</v>
      </c>
      <c r="C7" t="s">
        <v>54</v>
      </c>
      <c r="D7" t="s">
        <v>54</v>
      </c>
      <c r="E7"/>
      <c r="F7">
        <v>0</v>
      </c>
    </row>
    <row r="8" spans="1:23" ht="15" hidden="1" thickBot="1" x14ac:dyDescent="0.35">
      <c r="A8">
        <v>6</v>
      </c>
      <c r="B8" s="2" t="str">
        <f t="shared" si="3"/>
        <v>6</v>
      </c>
      <c r="C8" t="s">
        <v>54</v>
      </c>
      <c r="D8" t="s">
        <v>54</v>
      </c>
      <c r="E8"/>
      <c r="F8">
        <v>0</v>
      </c>
    </row>
    <row r="9" spans="1:23" ht="15" hidden="1" thickBot="1" x14ac:dyDescent="0.35">
      <c r="A9">
        <v>7</v>
      </c>
      <c r="B9" s="2" t="str">
        <f t="shared" si="3"/>
        <v>7</v>
      </c>
      <c r="C9" t="s">
        <v>54</v>
      </c>
      <c r="D9" t="s">
        <v>54</v>
      </c>
      <c r="E9"/>
      <c r="F9">
        <v>0</v>
      </c>
    </row>
    <row r="10" spans="1:23" ht="15" hidden="1" thickBot="1" x14ac:dyDescent="0.35">
      <c r="A10">
        <v>8</v>
      </c>
      <c r="B10" s="2" t="str">
        <f t="shared" si="3"/>
        <v>8</v>
      </c>
      <c r="C10" t="s">
        <v>54</v>
      </c>
      <c r="D10" t="s">
        <v>54</v>
      </c>
      <c r="E10"/>
      <c r="F10">
        <v>0</v>
      </c>
    </row>
    <row r="11" spans="1:23" ht="15" hidden="1" thickBot="1" x14ac:dyDescent="0.35">
      <c r="A11">
        <v>9</v>
      </c>
      <c r="B11" s="2" t="str">
        <f t="shared" si="3"/>
        <v>9</v>
      </c>
      <c r="C11" t="s">
        <v>54</v>
      </c>
      <c r="D11" t="s">
        <v>54</v>
      </c>
      <c r="E11"/>
      <c r="F11">
        <v>0</v>
      </c>
    </row>
    <row r="12" spans="1:23" ht="15" hidden="1" thickBot="1" x14ac:dyDescent="0.35">
      <c r="A12">
        <v>10</v>
      </c>
      <c r="B12" s="2" t="str">
        <f t="shared" si="3"/>
        <v>A</v>
      </c>
      <c r="C12" t="s">
        <v>54</v>
      </c>
      <c r="D12" t="s">
        <v>54</v>
      </c>
      <c r="E12"/>
      <c r="F12">
        <v>0</v>
      </c>
    </row>
    <row r="13" spans="1:23" x14ac:dyDescent="0.3">
      <c r="A13">
        <v>11</v>
      </c>
      <c r="B13" s="13" t="str">
        <f>DEC2HEX(A13,2)</f>
        <v>0B</v>
      </c>
      <c r="C13" s="15" t="s">
        <v>53</v>
      </c>
      <c r="D13" s="27" t="s">
        <v>3</v>
      </c>
      <c r="E13" s="15"/>
      <c r="F13" s="32" t="s">
        <v>60</v>
      </c>
      <c r="H13" s="45"/>
      <c r="I13" s="2" t="str">
        <f t="shared" ref="I13:I15" si="4">DEC2HEX(H13,8)</f>
        <v>00000000</v>
      </c>
      <c r="J13" t="str">
        <f t="shared" ref="J13:J15" si="5">IF(H13="","",CONCATENATE(B13,I13))</f>
        <v/>
      </c>
      <c r="K13">
        <f t="shared" ref="K13:K15" si="6">IF(F13="YES",IF(J13&lt;&gt;"",1,),)</f>
        <v>0</v>
      </c>
      <c r="M13" s="77" t="str">
        <f>IF(LEN(P1)=((N5+O5)*10+V5)*2,"WARNING : No more space into DL. 10 parameters have already been selected!",IF(LEN(P1)&gt;((N5+O5)*10+V5)*2,"ERROR : DL Frame will not be accepted by the Movee. Too much data.",""))</f>
        <v/>
      </c>
      <c r="N13" s="77"/>
      <c r="O13" s="77"/>
      <c r="P13" s="77"/>
      <c r="Q13" s="78"/>
      <c r="R13" s="77"/>
      <c r="S13" s="77"/>
      <c r="T13" s="77"/>
      <c r="U13" s="77"/>
      <c r="V13" s="77"/>
    </row>
    <row r="14" spans="1:23" x14ac:dyDescent="0.3">
      <c r="A14">
        <v>12</v>
      </c>
      <c r="B14" s="16" t="str">
        <f>DEC2HEX(A14,2)</f>
        <v>0C</v>
      </c>
      <c r="C14" s="11" t="s">
        <v>53</v>
      </c>
      <c r="D14" s="7" t="s">
        <v>4</v>
      </c>
      <c r="E14" s="11"/>
      <c r="F14" s="33" t="s">
        <v>60</v>
      </c>
      <c r="H14" s="46"/>
      <c r="I14" s="2" t="str">
        <f t="shared" si="4"/>
        <v>00000000</v>
      </c>
      <c r="J14" t="str">
        <f t="shared" si="5"/>
        <v/>
      </c>
      <c r="K14">
        <f t="shared" si="6"/>
        <v>0</v>
      </c>
      <c r="M14" s="77"/>
      <c r="N14" s="77"/>
      <c r="O14" s="77"/>
      <c r="P14" s="77"/>
      <c r="Q14" s="78"/>
      <c r="R14" s="77"/>
      <c r="S14" s="77"/>
      <c r="T14" s="77"/>
      <c r="U14" s="77"/>
      <c r="V14" s="77"/>
    </row>
    <row r="15" spans="1:23" ht="15" thickBot="1" x14ac:dyDescent="0.35">
      <c r="A15">
        <v>13</v>
      </c>
      <c r="B15" s="20" t="str">
        <f>DEC2HEX(A15,2)</f>
        <v>0D</v>
      </c>
      <c r="C15" s="21" t="s">
        <v>53</v>
      </c>
      <c r="D15" s="34" t="s">
        <v>5</v>
      </c>
      <c r="E15" s="21"/>
      <c r="F15" s="35" t="s">
        <v>59</v>
      </c>
      <c r="H15" s="47"/>
      <c r="I15" s="2" t="str">
        <f t="shared" si="4"/>
        <v>00000000</v>
      </c>
      <c r="J15" t="str">
        <f t="shared" si="5"/>
        <v/>
      </c>
      <c r="K15">
        <f t="shared" si="6"/>
        <v>0</v>
      </c>
      <c r="M15" s="77"/>
      <c r="N15" s="77"/>
      <c r="O15" s="77"/>
      <c r="P15" s="77"/>
      <c r="Q15" s="78"/>
      <c r="R15" s="77"/>
      <c r="S15" s="77"/>
      <c r="T15" s="77"/>
      <c r="U15" s="77"/>
      <c r="V15" s="77"/>
    </row>
    <row r="16" spans="1:23" ht="15" hidden="1" thickBot="1" x14ac:dyDescent="0.35">
      <c r="A16">
        <v>14</v>
      </c>
      <c r="B16" s="2" t="str">
        <f t="shared" ref="B16:B20" si="7">DEC2HEX(A16)</f>
        <v>E</v>
      </c>
      <c r="C16" t="s">
        <v>54</v>
      </c>
      <c r="D16" t="s">
        <v>54</v>
      </c>
      <c r="E16"/>
      <c r="F16">
        <v>0</v>
      </c>
    </row>
    <row r="17" spans="1:22" ht="15" hidden="1" thickBot="1" x14ac:dyDescent="0.35">
      <c r="A17">
        <v>15</v>
      </c>
      <c r="B17" s="2" t="str">
        <f t="shared" si="7"/>
        <v>F</v>
      </c>
      <c r="C17" t="s">
        <v>54</v>
      </c>
      <c r="D17" t="s">
        <v>54</v>
      </c>
      <c r="E17"/>
      <c r="F17">
        <v>0</v>
      </c>
    </row>
    <row r="18" spans="1:22" ht="15" hidden="1" thickBot="1" x14ac:dyDescent="0.35">
      <c r="A18">
        <v>16</v>
      </c>
      <c r="B18" s="2" t="str">
        <f t="shared" si="7"/>
        <v>10</v>
      </c>
      <c r="C18" t="s">
        <v>54</v>
      </c>
      <c r="D18" t="s">
        <v>54</v>
      </c>
      <c r="E18"/>
      <c r="F18">
        <v>0</v>
      </c>
    </row>
    <row r="19" spans="1:22" ht="15" hidden="1" thickBot="1" x14ac:dyDescent="0.35">
      <c r="A19">
        <v>17</v>
      </c>
      <c r="B19" s="2" t="str">
        <f t="shared" si="7"/>
        <v>11</v>
      </c>
      <c r="C19" t="s">
        <v>54</v>
      </c>
      <c r="D19" t="s">
        <v>54</v>
      </c>
      <c r="E19"/>
      <c r="F19">
        <v>0</v>
      </c>
    </row>
    <row r="20" spans="1:22" ht="15" hidden="1" thickBot="1" x14ac:dyDescent="0.35">
      <c r="A20">
        <v>18</v>
      </c>
      <c r="B20" s="2" t="str">
        <f t="shared" si="7"/>
        <v>12</v>
      </c>
      <c r="C20" t="s">
        <v>54</v>
      </c>
      <c r="D20" t="s">
        <v>54</v>
      </c>
      <c r="E20"/>
      <c r="F20">
        <v>0</v>
      </c>
    </row>
    <row r="21" spans="1:22" x14ac:dyDescent="0.3">
      <c r="A21">
        <v>19</v>
      </c>
      <c r="B21" s="22" t="str">
        <f t="shared" ref="B21:B34" si="8">DEC2HEX(A21)</f>
        <v>13</v>
      </c>
      <c r="C21" s="23" t="s">
        <v>52</v>
      </c>
      <c r="D21" s="36" t="s">
        <v>6</v>
      </c>
      <c r="E21" s="23"/>
      <c r="F21" s="37" t="s">
        <v>60</v>
      </c>
      <c r="H21" s="42"/>
      <c r="I21" s="2" t="str">
        <f t="shared" ref="I21:I29" si="9">DEC2HEX(H21,8)</f>
        <v>00000000</v>
      </c>
      <c r="J21" t="str">
        <f t="shared" ref="J21:J29" si="10">IF(H21="","",CONCATENATE(B21,I21))</f>
        <v/>
      </c>
      <c r="K21">
        <f t="shared" ref="K21:K29" si="11">IF(F21="YES",IF(J21&lt;&gt;"",1,),)</f>
        <v>0</v>
      </c>
      <c r="M21" s="79" t="str">
        <f>IF(SUM(K2:K116)&lt;&gt;0,"Movee need a reboot","")</f>
        <v/>
      </c>
      <c r="N21" s="79"/>
      <c r="O21" s="79"/>
      <c r="P21" s="79"/>
      <c r="Q21" s="79"/>
      <c r="R21" s="79"/>
      <c r="S21" s="79"/>
      <c r="T21" s="79"/>
      <c r="U21" s="79"/>
      <c r="V21" s="79"/>
    </row>
    <row r="22" spans="1:22" x14ac:dyDescent="0.3">
      <c r="A22">
        <v>20</v>
      </c>
      <c r="B22" s="17" t="str">
        <f t="shared" si="8"/>
        <v>14</v>
      </c>
      <c r="C22" s="12" t="s">
        <v>52</v>
      </c>
      <c r="D22" s="8" t="s">
        <v>7</v>
      </c>
      <c r="E22" s="12"/>
      <c r="F22" s="29" t="s">
        <v>60</v>
      </c>
      <c r="H22" s="43"/>
      <c r="I22" s="2" t="str">
        <f t="shared" si="9"/>
        <v>00000000</v>
      </c>
      <c r="J22" t="str">
        <f t="shared" si="10"/>
        <v/>
      </c>
      <c r="K22">
        <f t="shared" si="11"/>
        <v>0</v>
      </c>
      <c r="M22" t="s">
        <v>149</v>
      </c>
    </row>
    <row r="23" spans="1:22" ht="15" customHeight="1" x14ac:dyDescent="0.3">
      <c r="A23">
        <v>21</v>
      </c>
      <c r="B23" s="17" t="str">
        <f t="shared" si="8"/>
        <v>15</v>
      </c>
      <c r="C23" s="12" t="s">
        <v>52</v>
      </c>
      <c r="D23" s="8" t="s">
        <v>8</v>
      </c>
      <c r="E23" s="12"/>
      <c r="F23" s="29" t="s">
        <v>60</v>
      </c>
      <c r="H23" s="43"/>
      <c r="I23" s="2" t="str">
        <f t="shared" si="9"/>
        <v>00000000</v>
      </c>
      <c r="J23" t="str">
        <f t="shared" si="10"/>
        <v/>
      </c>
      <c r="K23">
        <f t="shared" si="11"/>
        <v>0</v>
      </c>
    </row>
    <row r="24" spans="1:22" ht="15" customHeight="1" x14ac:dyDescent="0.3">
      <c r="A24">
        <v>22</v>
      </c>
      <c r="B24" s="17" t="str">
        <f t="shared" si="8"/>
        <v>16</v>
      </c>
      <c r="C24" s="12" t="s">
        <v>52</v>
      </c>
      <c r="D24" s="8" t="s">
        <v>9</v>
      </c>
      <c r="E24" s="12"/>
      <c r="F24" s="29" t="s">
        <v>60</v>
      </c>
      <c r="H24" s="43"/>
      <c r="I24" s="2" t="str">
        <f t="shared" si="9"/>
        <v>00000000</v>
      </c>
      <c r="J24" t="str">
        <f t="shared" si="10"/>
        <v/>
      </c>
      <c r="K24">
        <f t="shared" si="11"/>
        <v>0</v>
      </c>
    </row>
    <row r="25" spans="1:22" ht="15" customHeight="1" x14ac:dyDescent="0.3">
      <c r="A25">
        <v>23</v>
      </c>
      <c r="B25" s="17" t="str">
        <f t="shared" si="8"/>
        <v>17</v>
      </c>
      <c r="C25" s="12" t="s">
        <v>52</v>
      </c>
      <c r="D25" s="8" t="s">
        <v>10</v>
      </c>
      <c r="E25" s="12"/>
      <c r="F25" s="29" t="s">
        <v>60</v>
      </c>
      <c r="H25" s="43"/>
      <c r="I25" s="2" t="str">
        <f t="shared" si="9"/>
        <v>00000000</v>
      </c>
      <c r="J25" t="str">
        <f t="shared" si="10"/>
        <v/>
      </c>
      <c r="K25">
        <f t="shared" si="11"/>
        <v>0</v>
      </c>
    </row>
    <row r="26" spans="1:22" x14ac:dyDescent="0.3">
      <c r="A26">
        <v>24</v>
      </c>
      <c r="B26" s="17" t="str">
        <f t="shared" si="8"/>
        <v>18</v>
      </c>
      <c r="C26" s="12" t="s">
        <v>52</v>
      </c>
      <c r="D26" s="8" t="s">
        <v>11</v>
      </c>
      <c r="E26" s="12"/>
      <c r="F26" s="29" t="s">
        <v>60</v>
      </c>
      <c r="H26" s="43"/>
      <c r="I26" s="2" t="str">
        <f t="shared" si="9"/>
        <v>00000000</v>
      </c>
      <c r="J26" t="str">
        <f t="shared" si="10"/>
        <v/>
      </c>
      <c r="K26">
        <f t="shared" si="11"/>
        <v>0</v>
      </c>
      <c r="P26" t="s">
        <v>151</v>
      </c>
      <c r="R26" t="str">
        <f>P1</f>
        <v>FF</v>
      </c>
    </row>
    <row r="27" spans="1:22" x14ac:dyDescent="0.3">
      <c r="A27">
        <v>25</v>
      </c>
      <c r="B27" s="17" t="str">
        <f t="shared" si="8"/>
        <v>19</v>
      </c>
      <c r="C27" s="12" t="s">
        <v>52</v>
      </c>
      <c r="D27" s="8" t="s">
        <v>14</v>
      </c>
      <c r="E27" s="12"/>
      <c r="F27" s="29" t="s">
        <v>60</v>
      </c>
      <c r="H27" s="43"/>
      <c r="I27" s="2" t="str">
        <f t="shared" si="9"/>
        <v>00000000</v>
      </c>
      <c r="J27" t="str">
        <f t="shared" si="10"/>
        <v/>
      </c>
      <c r="K27">
        <f t="shared" si="11"/>
        <v>0</v>
      </c>
    </row>
    <row r="28" spans="1:22" x14ac:dyDescent="0.3">
      <c r="A28">
        <v>26</v>
      </c>
      <c r="B28" s="17" t="str">
        <f t="shared" si="8"/>
        <v>1A</v>
      </c>
      <c r="C28" s="12" t="s">
        <v>52</v>
      </c>
      <c r="D28" s="8" t="s">
        <v>12</v>
      </c>
      <c r="E28" s="12"/>
      <c r="F28" s="29" t="s">
        <v>59</v>
      </c>
      <c r="H28" s="43"/>
      <c r="I28" s="2" t="str">
        <f t="shared" si="9"/>
        <v>00000000</v>
      </c>
      <c r="J28" t="str">
        <f t="shared" si="10"/>
        <v/>
      </c>
      <c r="K28">
        <f t="shared" si="11"/>
        <v>0</v>
      </c>
    </row>
    <row r="29" spans="1:22" ht="15" thickBot="1" x14ac:dyDescent="0.35">
      <c r="A29">
        <v>27</v>
      </c>
      <c r="B29" s="18" t="str">
        <f t="shared" si="8"/>
        <v>1B</v>
      </c>
      <c r="C29" s="19" t="s">
        <v>52</v>
      </c>
      <c r="D29" s="30" t="s">
        <v>13</v>
      </c>
      <c r="E29" s="19"/>
      <c r="F29" s="31" t="s">
        <v>59</v>
      </c>
      <c r="H29" s="44"/>
      <c r="I29" s="2" t="str">
        <f t="shared" si="9"/>
        <v>00000000</v>
      </c>
      <c r="J29" t="str">
        <f t="shared" si="10"/>
        <v/>
      </c>
      <c r="K29">
        <f t="shared" si="11"/>
        <v>0</v>
      </c>
    </row>
    <row r="30" spans="1:22" ht="15" hidden="1" thickBot="1" x14ac:dyDescent="0.35">
      <c r="A30">
        <v>28</v>
      </c>
      <c r="B30" s="2" t="str">
        <f t="shared" si="8"/>
        <v>1C</v>
      </c>
      <c r="C30" t="s">
        <v>54</v>
      </c>
      <c r="D30" t="s">
        <v>54</v>
      </c>
      <c r="E30"/>
      <c r="F30">
        <v>0</v>
      </c>
    </row>
    <row r="31" spans="1:22" ht="15" hidden="1" thickBot="1" x14ac:dyDescent="0.35">
      <c r="A31">
        <v>29</v>
      </c>
      <c r="B31" s="2" t="str">
        <f t="shared" si="8"/>
        <v>1D</v>
      </c>
      <c r="C31" t="s">
        <v>54</v>
      </c>
      <c r="D31" t="s">
        <v>54</v>
      </c>
      <c r="E31"/>
      <c r="F31">
        <v>0</v>
      </c>
    </row>
    <row r="32" spans="1:22" ht="15" hidden="1" thickBot="1" x14ac:dyDescent="0.35">
      <c r="A32">
        <v>30</v>
      </c>
      <c r="B32" s="2" t="str">
        <f t="shared" si="8"/>
        <v>1E</v>
      </c>
      <c r="C32" t="s">
        <v>54</v>
      </c>
      <c r="D32" t="s">
        <v>54</v>
      </c>
      <c r="E32"/>
      <c r="F32">
        <v>0</v>
      </c>
    </row>
    <row r="33" spans="1:18" ht="15" hidden="1" thickBot="1" x14ac:dyDescent="0.35">
      <c r="A33">
        <v>31</v>
      </c>
      <c r="B33" s="2" t="str">
        <f t="shared" si="8"/>
        <v>1F</v>
      </c>
      <c r="C33" t="s">
        <v>54</v>
      </c>
      <c r="D33" t="s">
        <v>54</v>
      </c>
      <c r="E33"/>
      <c r="F33">
        <v>0</v>
      </c>
    </row>
    <row r="34" spans="1:18" ht="15" hidden="1" thickBot="1" x14ac:dyDescent="0.35">
      <c r="A34">
        <v>32</v>
      </c>
      <c r="B34" s="2" t="str">
        <f t="shared" si="8"/>
        <v>20</v>
      </c>
      <c r="C34" t="s">
        <v>54</v>
      </c>
      <c r="D34" t="s">
        <v>54</v>
      </c>
      <c r="E34"/>
      <c r="F34">
        <v>0</v>
      </c>
    </row>
    <row r="35" spans="1:18" x14ac:dyDescent="0.3">
      <c r="A35">
        <v>33</v>
      </c>
      <c r="B35" s="13" t="str">
        <f t="shared" ref="B35:B55" si="12">DEC2HEX(A35)</f>
        <v>21</v>
      </c>
      <c r="C35" s="15" t="s">
        <v>51</v>
      </c>
      <c r="D35" s="27" t="s">
        <v>6</v>
      </c>
      <c r="E35" s="15"/>
      <c r="F35" s="32" t="s">
        <v>60</v>
      </c>
      <c r="H35" s="45"/>
      <c r="I35" s="2" t="str">
        <f t="shared" ref="I35:I50" si="13">DEC2HEX(H35,8)</f>
        <v>00000000</v>
      </c>
      <c r="J35" t="str">
        <f t="shared" ref="J35:J50" si="14">IF(H35="","",CONCATENATE(B35,I35))</f>
        <v/>
      </c>
      <c r="K35">
        <f t="shared" ref="K35:K50" si="15">IF(F35="YES",IF(J35&lt;&gt;"",1,),)</f>
        <v>0</v>
      </c>
      <c r="P35" s="73" t="s">
        <v>123</v>
      </c>
      <c r="Q35" s="74"/>
      <c r="R35" s="73"/>
    </row>
    <row r="36" spans="1:18" ht="15" thickBot="1" x14ac:dyDescent="0.35">
      <c r="A36">
        <v>34</v>
      </c>
      <c r="B36" s="16" t="str">
        <f t="shared" si="12"/>
        <v>22</v>
      </c>
      <c r="C36" s="11" t="s">
        <v>51</v>
      </c>
      <c r="D36" s="7" t="s">
        <v>7</v>
      </c>
      <c r="E36" s="11"/>
      <c r="F36" s="33" t="s">
        <v>60</v>
      </c>
      <c r="H36" s="46"/>
      <c r="I36" s="2" t="str">
        <f t="shared" si="13"/>
        <v>00000000</v>
      </c>
      <c r="J36" t="str">
        <f t="shared" si="14"/>
        <v/>
      </c>
      <c r="K36">
        <f t="shared" si="15"/>
        <v>0</v>
      </c>
      <c r="P36" s="73"/>
      <c r="Q36" s="74"/>
      <c r="R36" s="73"/>
    </row>
    <row r="37" spans="1:18" ht="17.399999999999999" thickBot="1" x14ac:dyDescent="0.35">
      <c r="A37">
        <v>35</v>
      </c>
      <c r="B37" s="16" t="str">
        <f t="shared" si="12"/>
        <v>23</v>
      </c>
      <c r="C37" s="11" t="s">
        <v>51</v>
      </c>
      <c r="D37" s="7" t="s">
        <v>8</v>
      </c>
      <c r="E37" s="11"/>
      <c r="F37" s="33" t="s">
        <v>60</v>
      </c>
      <c r="H37" s="46"/>
      <c r="I37" s="2" t="str">
        <f t="shared" si="13"/>
        <v>00000000</v>
      </c>
      <c r="J37" t="str">
        <f t="shared" si="14"/>
        <v/>
      </c>
      <c r="K37">
        <f t="shared" si="15"/>
        <v>0</v>
      </c>
      <c r="P37" s="98" t="s">
        <v>152</v>
      </c>
      <c r="Q37" s="98" t="s">
        <v>156</v>
      </c>
      <c r="R37" s="98" t="s">
        <v>153</v>
      </c>
    </row>
    <row r="38" spans="1:18" x14ac:dyDescent="0.3">
      <c r="A38">
        <v>36</v>
      </c>
      <c r="B38" s="16" t="str">
        <f t="shared" si="12"/>
        <v>24</v>
      </c>
      <c r="C38" s="11" t="s">
        <v>51</v>
      </c>
      <c r="D38" s="7" t="s">
        <v>9</v>
      </c>
      <c r="E38" s="11"/>
      <c r="F38" s="33" t="s">
        <v>60</v>
      </c>
      <c r="H38" s="46"/>
      <c r="I38" s="2" t="str">
        <f t="shared" si="13"/>
        <v>00000000</v>
      </c>
      <c r="J38" t="str">
        <f t="shared" si="14"/>
        <v/>
      </c>
      <c r="K38">
        <f t="shared" si="15"/>
        <v>0</v>
      </c>
      <c r="P38" s="96" t="s">
        <v>110</v>
      </c>
      <c r="Q38" s="97">
        <v>1</v>
      </c>
      <c r="R38" s="95" t="s">
        <v>154</v>
      </c>
    </row>
    <row r="39" spans="1:18" x14ac:dyDescent="0.3">
      <c r="A39">
        <v>37</v>
      </c>
      <c r="B39" s="16" t="str">
        <f t="shared" si="12"/>
        <v>25</v>
      </c>
      <c r="C39" s="11" t="s">
        <v>51</v>
      </c>
      <c r="D39" s="7" t="s">
        <v>10</v>
      </c>
      <c r="E39" s="11"/>
      <c r="F39" s="33" t="s">
        <v>60</v>
      </c>
      <c r="H39" s="46"/>
      <c r="I39" s="2" t="str">
        <f t="shared" si="13"/>
        <v>00000000</v>
      </c>
      <c r="J39" t="str">
        <f t="shared" si="14"/>
        <v/>
      </c>
      <c r="K39">
        <f t="shared" si="15"/>
        <v>0</v>
      </c>
      <c r="P39" s="60" t="s">
        <v>111</v>
      </c>
      <c r="Q39" s="61">
        <v>2</v>
      </c>
      <c r="R39" s="62" t="s">
        <v>155</v>
      </c>
    </row>
    <row r="40" spans="1:18" x14ac:dyDescent="0.3">
      <c r="A40">
        <v>38</v>
      </c>
      <c r="B40" s="16" t="str">
        <f t="shared" si="12"/>
        <v>26</v>
      </c>
      <c r="C40" s="11" t="s">
        <v>51</v>
      </c>
      <c r="D40" s="7" t="s">
        <v>11</v>
      </c>
      <c r="E40" s="11"/>
      <c r="F40" s="33" t="s">
        <v>60</v>
      </c>
      <c r="H40" s="46"/>
      <c r="I40" s="2" t="str">
        <f t="shared" si="13"/>
        <v>00000000</v>
      </c>
      <c r="J40" t="str">
        <f t="shared" si="14"/>
        <v/>
      </c>
      <c r="K40">
        <f t="shared" si="15"/>
        <v>0</v>
      </c>
      <c r="P40" s="60" t="s">
        <v>112</v>
      </c>
      <c r="Q40" s="61">
        <v>4</v>
      </c>
      <c r="R40" s="62" t="s">
        <v>154</v>
      </c>
    </row>
    <row r="41" spans="1:18" x14ac:dyDescent="0.3">
      <c r="A41">
        <v>39</v>
      </c>
      <c r="B41" s="16" t="str">
        <f t="shared" si="12"/>
        <v>27</v>
      </c>
      <c r="C41" s="11" t="s">
        <v>51</v>
      </c>
      <c r="D41" s="7" t="s">
        <v>14</v>
      </c>
      <c r="E41" s="11"/>
      <c r="F41" s="33" t="s">
        <v>60</v>
      </c>
      <c r="H41" s="46"/>
      <c r="I41" s="2" t="str">
        <f t="shared" si="13"/>
        <v>00000000</v>
      </c>
      <c r="J41" t="str">
        <f t="shared" si="14"/>
        <v/>
      </c>
      <c r="K41">
        <f t="shared" si="15"/>
        <v>0</v>
      </c>
      <c r="P41" s="60" t="s">
        <v>113</v>
      </c>
      <c r="Q41" s="61">
        <f>2^3</f>
        <v>8</v>
      </c>
      <c r="R41" s="62" t="s">
        <v>155</v>
      </c>
    </row>
    <row r="42" spans="1:18" x14ac:dyDescent="0.3">
      <c r="A42">
        <v>40</v>
      </c>
      <c r="B42" s="16" t="str">
        <f t="shared" si="12"/>
        <v>28</v>
      </c>
      <c r="C42" s="11" t="s">
        <v>51</v>
      </c>
      <c r="D42" s="7" t="s">
        <v>15</v>
      </c>
      <c r="E42" s="11"/>
      <c r="F42" s="33" t="s">
        <v>60</v>
      </c>
      <c r="H42" s="46"/>
      <c r="I42" s="2" t="str">
        <f t="shared" si="13"/>
        <v>00000000</v>
      </c>
      <c r="J42" t="str">
        <f t="shared" si="14"/>
        <v/>
      </c>
      <c r="K42">
        <f t="shared" si="15"/>
        <v>0</v>
      </c>
      <c r="P42" s="60" t="s">
        <v>114</v>
      </c>
      <c r="Q42" s="61">
        <f>2^4</f>
        <v>16</v>
      </c>
      <c r="R42" s="62" t="s">
        <v>155</v>
      </c>
    </row>
    <row r="43" spans="1:18" x14ac:dyDescent="0.3">
      <c r="A43">
        <v>41</v>
      </c>
      <c r="B43" s="16" t="str">
        <f t="shared" si="12"/>
        <v>29</v>
      </c>
      <c r="C43" s="11" t="s">
        <v>51</v>
      </c>
      <c r="D43" s="7" t="s">
        <v>16</v>
      </c>
      <c r="E43" s="11"/>
      <c r="F43" s="33" t="s">
        <v>60</v>
      </c>
      <c r="H43" s="46"/>
      <c r="I43" s="2" t="str">
        <f t="shared" si="13"/>
        <v>00000000</v>
      </c>
      <c r="J43" t="str">
        <f t="shared" si="14"/>
        <v/>
      </c>
      <c r="K43">
        <f t="shared" si="15"/>
        <v>0</v>
      </c>
      <c r="P43" s="60" t="s">
        <v>115</v>
      </c>
      <c r="Q43" s="61">
        <f>2^5</f>
        <v>32</v>
      </c>
      <c r="R43" s="62" t="s">
        <v>155</v>
      </c>
    </row>
    <row r="44" spans="1:18" x14ac:dyDescent="0.3">
      <c r="A44">
        <v>42</v>
      </c>
      <c r="B44" s="16" t="str">
        <f t="shared" si="12"/>
        <v>2A</v>
      </c>
      <c r="C44" s="11" t="s">
        <v>51</v>
      </c>
      <c r="D44" s="7" t="s">
        <v>17</v>
      </c>
      <c r="E44" s="11"/>
      <c r="F44" s="33" t="s">
        <v>59</v>
      </c>
      <c r="H44" s="46"/>
      <c r="I44" s="2" t="str">
        <f t="shared" si="13"/>
        <v>00000000</v>
      </c>
      <c r="J44" t="str">
        <f t="shared" si="14"/>
        <v/>
      </c>
      <c r="K44">
        <f t="shared" si="15"/>
        <v>0</v>
      </c>
      <c r="P44" s="60" t="s">
        <v>116</v>
      </c>
      <c r="Q44" s="61">
        <f>2^6</f>
        <v>64</v>
      </c>
      <c r="R44" s="62" t="s">
        <v>155</v>
      </c>
    </row>
    <row r="45" spans="1:18" x14ac:dyDescent="0.3">
      <c r="A45">
        <v>43</v>
      </c>
      <c r="B45" s="16" t="str">
        <f t="shared" si="12"/>
        <v>2B</v>
      </c>
      <c r="C45" s="11" t="s">
        <v>51</v>
      </c>
      <c r="D45" s="7" t="s">
        <v>18</v>
      </c>
      <c r="E45" s="11"/>
      <c r="F45" s="33" t="s">
        <v>59</v>
      </c>
      <c r="H45" s="46"/>
      <c r="I45" s="2" t="str">
        <f t="shared" si="13"/>
        <v>00000000</v>
      </c>
      <c r="J45" t="str">
        <f t="shared" si="14"/>
        <v/>
      </c>
      <c r="K45">
        <f t="shared" si="15"/>
        <v>0</v>
      </c>
      <c r="P45" s="60" t="s">
        <v>117</v>
      </c>
      <c r="Q45" s="61">
        <f>2^7</f>
        <v>128</v>
      </c>
      <c r="R45" s="62" t="s">
        <v>155</v>
      </c>
    </row>
    <row r="46" spans="1:18" ht="15" thickBot="1" x14ac:dyDescent="0.35">
      <c r="A46">
        <v>44</v>
      </c>
      <c r="B46" s="16" t="str">
        <f t="shared" si="12"/>
        <v>2C</v>
      </c>
      <c r="C46" s="11" t="s">
        <v>51</v>
      </c>
      <c r="D46" s="7" t="s">
        <v>19</v>
      </c>
      <c r="E46" s="11"/>
      <c r="F46" s="33" t="s">
        <v>59</v>
      </c>
      <c r="H46" s="46"/>
      <c r="I46" s="2" t="str">
        <f t="shared" si="13"/>
        <v>00000000</v>
      </c>
      <c r="J46" t="str">
        <f t="shared" si="14"/>
        <v/>
      </c>
      <c r="K46">
        <f t="shared" si="15"/>
        <v>0</v>
      </c>
      <c r="P46" s="63" t="s">
        <v>118</v>
      </c>
      <c r="Q46" s="64">
        <f>2^8</f>
        <v>256</v>
      </c>
      <c r="R46" s="65" t="s">
        <v>155</v>
      </c>
    </row>
    <row r="47" spans="1:18" x14ac:dyDescent="0.3">
      <c r="A47">
        <v>45</v>
      </c>
      <c r="B47" s="16" t="str">
        <f t="shared" si="12"/>
        <v>2D</v>
      </c>
      <c r="C47" s="11" t="s">
        <v>51</v>
      </c>
      <c r="D47" s="7" t="s">
        <v>20</v>
      </c>
      <c r="E47" s="11"/>
      <c r="F47" s="33" t="s">
        <v>59</v>
      </c>
      <c r="H47" s="46"/>
      <c r="I47" s="2" t="str">
        <f t="shared" si="13"/>
        <v>00000000</v>
      </c>
      <c r="J47" t="str">
        <f t="shared" si="14"/>
        <v/>
      </c>
      <c r="K47">
        <f t="shared" si="15"/>
        <v>0</v>
      </c>
      <c r="Q47" s="24" t="str">
        <f>DEC2HEX((SUM(Q48:Q56)),8)</f>
        <v>00000005</v>
      </c>
      <c r="R47" s="72"/>
    </row>
    <row r="48" spans="1:18" x14ac:dyDescent="0.3">
      <c r="A48">
        <v>46</v>
      </c>
      <c r="B48" s="16" t="str">
        <f t="shared" si="12"/>
        <v>2E</v>
      </c>
      <c r="C48" s="11" t="s">
        <v>51</v>
      </c>
      <c r="D48" s="7" t="s">
        <v>21</v>
      </c>
      <c r="E48" s="11"/>
      <c r="F48" s="33" t="s">
        <v>60</v>
      </c>
      <c r="H48" s="46"/>
      <c r="I48" s="2" t="str">
        <f t="shared" si="13"/>
        <v>00000000</v>
      </c>
      <c r="J48" t="str">
        <f t="shared" si="14"/>
        <v/>
      </c>
      <c r="K48">
        <f t="shared" si="15"/>
        <v>0</v>
      </c>
      <c r="Q48" s="24">
        <f>IF(R38="DISABLED",0,Q38)</f>
        <v>1</v>
      </c>
    </row>
    <row r="49" spans="1:17" x14ac:dyDescent="0.3">
      <c r="A49">
        <v>47</v>
      </c>
      <c r="B49" s="16" t="str">
        <f t="shared" si="12"/>
        <v>2F</v>
      </c>
      <c r="C49" s="11" t="s">
        <v>51</v>
      </c>
      <c r="D49" s="7" t="s">
        <v>22</v>
      </c>
      <c r="E49" s="11"/>
      <c r="F49" s="33" t="s">
        <v>59</v>
      </c>
      <c r="H49" s="46"/>
      <c r="I49" s="2" t="str">
        <f t="shared" si="13"/>
        <v>00000000</v>
      </c>
      <c r="J49" t="str">
        <f t="shared" si="14"/>
        <v/>
      </c>
      <c r="K49">
        <f t="shared" si="15"/>
        <v>0</v>
      </c>
      <c r="Q49" s="24">
        <f>IF(R39="DISABLED",0,Q39)</f>
        <v>0</v>
      </c>
    </row>
    <row r="50" spans="1:17" ht="15" thickBot="1" x14ac:dyDescent="0.35">
      <c r="A50">
        <v>48</v>
      </c>
      <c r="B50" s="20" t="str">
        <f t="shared" si="12"/>
        <v>30</v>
      </c>
      <c r="C50" s="21" t="s">
        <v>51</v>
      </c>
      <c r="D50" s="34" t="s">
        <v>23</v>
      </c>
      <c r="E50" s="21"/>
      <c r="F50" s="35" t="s">
        <v>59</v>
      </c>
      <c r="H50" s="47"/>
      <c r="I50" s="2" t="str">
        <f t="shared" si="13"/>
        <v>00000000</v>
      </c>
      <c r="J50" t="str">
        <f t="shared" si="14"/>
        <v/>
      </c>
      <c r="K50">
        <f t="shared" si="15"/>
        <v>0</v>
      </c>
      <c r="Q50" s="24">
        <f>IF(R40="DISABLED",0,Q40)</f>
        <v>4</v>
      </c>
    </row>
    <row r="51" spans="1:17" hidden="1" x14ac:dyDescent="0.3">
      <c r="A51">
        <v>49</v>
      </c>
      <c r="B51" s="2" t="str">
        <f t="shared" si="12"/>
        <v>31</v>
      </c>
      <c r="C51" t="s">
        <v>54</v>
      </c>
      <c r="D51" t="s">
        <v>54</v>
      </c>
      <c r="E51"/>
      <c r="F51">
        <v>0</v>
      </c>
      <c r="Q51" s="24">
        <f>IF(R41="DISABLED",0,Q41)</f>
        <v>0</v>
      </c>
    </row>
    <row r="52" spans="1:17" hidden="1" x14ac:dyDescent="0.3">
      <c r="A52">
        <v>50</v>
      </c>
      <c r="B52" s="2" t="str">
        <f t="shared" si="12"/>
        <v>32</v>
      </c>
      <c r="C52" t="s">
        <v>54</v>
      </c>
      <c r="D52" t="s">
        <v>54</v>
      </c>
      <c r="E52"/>
      <c r="F52">
        <v>0</v>
      </c>
      <c r="Q52" s="24">
        <f>IF(R42="DISABLED",0,Q42)</f>
        <v>0</v>
      </c>
    </row>
    <row r="53" spans="1:17" hidden="1" x14ac:dyDescent="0.3">
      <c r="A53">
        <v>51</v>
      </c>
      <c r="B53" s="2" t="str">
        <f t="shared" si="12"/>
        <v>33</v>
      </c>
      <c r="C53" t="s">
        <v>54</v>
      </c>
      <c r="D53" t="s">
        <v>54</v>
      </c>
      <c r="E53"/>
      <c r="F53">
        <v>0</v>
      </c>
      <c r="Q53" s="24">
        <f>IF(R43="DISABLED",0,Q43)</f>
        <v>0</v>
      </c>
    </row>
    <row r="54" spans="1:17" hidden="1" x14ac:dyDescent="0.3">
      <c r="A54">
        <v>52</v>
      </c>
      <c r="B54" s="2" t="str">
        <f t="shared" si="12"/>
        <v>34</v>
      </c>
      <c r="C54" t="s">
        <v>54</v>
      </c>
      <c r="D54" t="s">
        <v>54</v>
      </c>
      <c r="E54"/>
      <c r="F54">
        <v>0</v>
      </c>
      <c r="Q54" s="24">
        <f>IF(R44="DISABLED",0,Q44)</f>
        <v>0</v>
      </c>
    </row>
    <row r="55" spans="1:17" ht="15" hidden="1" thickBot="1" x14ac:dyDescent="0.35">
      <c r="A55">
        <v>53</v>
      </c>
      <c r="B55" s="2" t="str">
        <f t="shared" si="12"/>
        <v>35</v>
      </c>
      <c r="C55" t="s">
        <v>54</v>
      </c>
      <c r="D55" t="s">
        <v>54</v>
      </c>
      <c r="E55"/>
      <c r="F55">
        <v>0</v>
      </c>
      <c r="Q55" s="24">
        <f>IF(R45="DISABLED",0,Q45)</f>
        <v>0</v>
      </c>
    </row>
    <row r="56" spans="1:17" x14ac:dyDescent="0.3">
      <c r="A56">
        <v>54</v>
      </c>
      <c r="B56" s="22" t="str">
        <f t="shared" ref="B56:B69" si="16">DEC2HEX(A56)</f>
        <v>36</v>
      </c>
      <c r="C56" s="23" t="s">
        <v>30</v>
      </c>
      <c r="D56" s="36" t="s">
        <v>5</v>
      </c>
      <c r="E56" s="23"/>
      <c r="F56" s="37" t="s">
        <v>60</v>
      </c>
      <c r="H56" s="42"/>
      <c r="I56" s="2" t="str">
        <f t="shared" ref="I56:I64" si="17">DEC2HEX(H56,8)</f>
        <v>00000000</v>
      </c>
      <c r="J56" t="str">
        <f t="shared" ref="J56:J64" si="18">IF(H56="","",CONCATENATE(B56,I56))</f>
        <v/>
      </c>
      <c r="K56">
        <f t="shared" ref="K56:K64" si="19">IF(F56="YES",IF(J56&lt;&gt;"",1,),)</f>
        <v>0</v>
      </c>
      <c r="Q56" s="24">
        <f>IF(R46="DISABLED",0,Q46)</f>
        <v>0</v>
      </c>
    </row>
    <row r="57" spans="1:17" x14ac:dyDescent="0.3">
      <c r="A57">
        <v>55</v>
      </c>
      <c r="B57" s="17" t="str">
        <f t="shared" si="16"/>
        <v>37</v>
      </c>
      <c r="C57" s="12" t="s">
        <v>30</v>
      </c>
      <c r="D57" s="8" t="s">
        <v>24</v>
      </c>
      <c r="E57" s="12"/>
      <c r="F57" s="29" t="s">
        <v>59</v>
      </c>
      <c r="H57" s="43"/>
      <c r="I57" s="2" t="str">
        <f t="shared" si="17"/>
        <v>00000000</v>
      </c>
      <c r="J57" t="str">
        <f t="shared" si="18"/>
        <v/>
      </c>
      <c r="K57">
        <f t="shared" si="19"/>
        <v>0</v>
      </c>
    </row>
    <row r="58" spans="1:17" x14ac:dyDescent="0.3">
      <c r="A58">
        <v>56</v>
      </c>
      <c r="B58" s="17" t="str">
        <f t="shared" si="16"/>
        <v>38</v>
      </c>
      <c r="C58" s="12" t="s">
        <v>30</v>
      </c>
      <c r="D58" s="8" t="s">
        <v>25</v>
      </c>
      <c r="E58" s="12"/>
      <c r="F58" s="29" t="s">
        <v>59</v>
      </c>
      <c r="H58" s="43"/>
      <c r="I58" s="2" t="str">
        <f t="shared" si="17"/>
        <v>00000000</v>
      </c>
      <c r="J58" t="str">
        <f t="shared" si="18"/>
        <v/>
      </c>
      <c r="K58">
        <f t="shared" si="19"/>
        <v>0</v>
      </c>
    </row>
    <row r="59" spans="1:17" x14ac:dyDescent="0.3">
      <c r="A59">
        <v>57</v>
      </c>
      <c r="B59" s="17" t="str">
        <f t="shared" si="16"/>
        <v>39</v>
      </c>
      <c r="C59" s="12" t="s">
        <v>30</v>
      </c>
      <c r="D59" s="8" t="s">
        <v>26</v>
      </c>
      <c r="E59" s="12"/>
      <c r="F59" s="29" t="s">
        <v>59</v>
      </c>
      <c r="H59" s="43"/>
      <c r="I59" s="2" t="str">
        <f t="shared" si="17"/>
        <v>00000000</v>
      </c>
      <c r="J59" t="str">
        <f t="shared" si="18"/>
        <v/>
      </c>
      <c r="K59">
        <f t="shared" si="19"/>
        <v>0</v>
      </c>
    </row>
    <row r="60" spans="1:17" x14ac:dyDescent="0.3">
      <c r="A60">
        <v>58</v>
      </c>
      <c r="B60" s="17" t="str">
        <f t="shared" si="16"/>
        <v>3A</v>
      </c>
      <c r="C60" s="12" t="s">
        <v>30</v>
      </c>
      <c r="D60" s="8" t="s">
        <v>27</v>
      </c>
      <c r="E60" s="12"/>
      <c r="F60" s="29" t="s">
        <v>59</v>
      </c>
      <c r="H60" s="43"/>
      <c r="I60" s="2" t="str">
        <f t="shared" si="17"/>
        <v>00000000</v>
      </c>
      <c r="J60" t="str">
        <f t="shared" si="18"/>
        <v/>
      </c>
      <c r="K60">
        <f t="shared" si="19"/>
        <v>0</v>
      </c>
    </row>
    <row r="61" spans="1:17" x14ac:dyDescent="0.3">
      <c r="A61">
        <v>59</v>
      </c>
      <c r="B61" s="17" t="str">
        <f t="shared" si="16"/>
        <v>3B</v>
      </c>
      <c r="C61" s="12" t="s">
        <v>30</v>
      </c>
      <c r="D61" s="8" t="s">
        <v>4</v>
      </c>
      <c r="E61" s="12"/>
      <c r="F61" s="29" t="s">
        <v>59</v>
      </c>
      <c r="H61" s="43"/>
      <c r="I61" s="2" t="str">
        <f t="shared" si="17"/>
        <v>00000000</v>
      </c>
      <c r="J61" t="str">
        <f t="shared" si="18"/>
        <v/>
      </c>
      <c r="K61">
        <f t="shared" si="19"/>
        <v>0</v>
      </c>
    </row>
    <row r="62" spans="1:17" x14ac:dyDescent="0.3">
      <c r="A62">
        <v>60</v>
      </c>
      <c r="B62" s="17" t="str">
        <f t="shared" si="16"/>
        <v>3C</v>
      </c>
      <c r="C62" s="12" t="s">
        <v>30</v>
      </c>
      <c r="D62" s="8" t="s">
        <v>28</v>
      </c>
      <c r="E62" s="12"/>
      <c r="F62" s="29" t="s">
        <v>59</v>
      </c>
      <c r="H62" s="43"/>
      <c r="I62" s="2" t="str">
        <f t="shared" si="17"/>
        <v>00000000</v>
      </c>
      <c r="J62" t="str">
        <f t="shared" si="18"/>
        <v/>
      </c>
      <c r="K62">
        <f t="shared" si="19"/>
        <v>0</v>
      </c>
    </row>
    <row r="63" spans="1:17" x14ac:dyDescent="0.3">
      <c r="A63">
        <v>61</v>
      </c>
      <c r="B63" s="17" t="str">
        <f t="shared" si="16"/>
        <v>3D</v>
      </c>
      <c r="C63" s="12" t="s">
        <v>30</v>
      </c>
      <c r="D63" s="8" t="s">
        <v>29</v>
      </c>
      <c r="E63" s="12"/>
      <c r="F63" s="29" t="s">
        <v>59</v>
      </c>
      <c r="H63" s="43"/>
      <c r="I63" s="2" t="str">
        <f t="shared" si="17"/>
        <v>00000000</v>
      </c>
      <c r="J63" t="str">
        <f t="shared" si="18"/>
        <v/>
      </c>
      <c r="K63">
        <f t="shared" si="19"/>
        <v>0</v>
      </c>
    </row>
    <row r="64" spans="1:17" ht="15" thickBot="1" x14ac:dyDescent="0.35">
      <c r="A64">
        <v>62</v>
      </c>
      <c r="B64" s="18" t="str">
        <f t="shared" si="16"/>
        <v>3E</v>
      </c>
      <c r="C64" s="19" t="s">
        <v>30</v>
      </c>
      <c r="D64" s="30" t="s">
        <v>12</v>
      </c>
      <c r="E64" s="19"/>
      <c r="F64" s="31" t="s">
        <v>59</v>
      </c>
      <c r="H64" s="44"/>
      <c r="I64" s="2" t="str">
        <f t="shared" si="17"/>
        <v>00000000</v>
      </c>
      <c r="J64" t="str">
        <f t="shared" si="18"/>
        <v/>
      </c>
      <c r="K64">
        <f t="shared" si="19"/>
        <v>0</v>
      </c>
    </row>
    <row r="65" spans="1:11" ht="15" hidden="1" thickBot="1" x14ac:dyDescent="0.35">
      <c r="A65">
        <v>63</v>
      </c>
      <c r="B65" s="2" t="str">
        <f t="shared" si="16"/>
        <v>3F</v>
      </c>
      <c r="C65" t="s">
        <v>54</v>
      </c>
      <c r="D65" t="s">
        <v>54</v>
      </c>
      <c r="E65"/>
      <c r="F65">
        <v>0</v>
      </c>
    </row>
    <row r="66" spans="1:11" ht="15" hidden="1" thickBot="1" x14ac:dyDescent="0.35">
      <c r="A66">
        <v>64</v>
      </c>
      <c r="B66" s="2" t="str">
        <f t="shared" si="16"/>
        <v>40</v>
      </c>
      <c r="C66" t="s">
        <v>54</v>
      </c>
      <c r="D66" t="s">
        <v>54</v>
      </c>
      <c r="E66"/>
      <c r="F66">
        <v>0</v>
      </c>
    </row>
    <row r="67" spans="1:11" x14ac:dyDescent="0.3">
      <c r="A67">
        <v>65</v>
      </c>
      <c r="B67" s="13" t="str">
        <f t="shared" si="16"/>
        <v>41</v>
      </c>
      <c r="C67" s="15" t="s">
        <v>35</v>
      </c>
      <c r="D67" s="27" t="s">
        <v>66</v>
      </c>
      <c r="E67" s="15"/>
      <c r="F67" s="32" t="s">
        <v>59</v>
      </c>
      <c r="H67" s="45"/>
      <c r="I67" s="2" t="str">
        <f t="shared" ref="I67:I76" si="20">DEC2HEX(H67,8)</f>
        <v>00000000</v>
      </c>
      <c r="J67" t="str">
        <f t="shared" ref="J67:J76" si="21">IF(H67="","",CONCATENATE(B67,I67))</f>
        <v/>
      </c>
      <c r="K67">
        <f t="shared" ref="K67:K76" si="22">IF(F67="YES",IF(J67&lt;&gt;"",1,),)</f>
        <v>0</v>
      </c>
    </row>
    <row r="68" spans="1:11" x14ac:dyDescent="0.3">
      <c r="A68">
        <v>66</v>
      </c>
      <c r="B68" s="16" t="str">
        <f t="shared" si="16"/>
        <v>42</v>
      </c>
      <c r="C68" s="11" t="s">
        <v>35</v>
      </c>
      <c r="D68" s="7" t="s">
        <v>65</v>
      </c>
      <c r="E68" s="11"/>
      <c r="F68" s="33" t="s">
        <v>59</v>
      </c>
      <c r="H68" s="46"/>
      <c r="I68" s="2" t="str">
        <f t="shared" si="20"/>
        <v>00000000</v>
      </c>
      <c r="J68" t="str">
        <f t="shared" si="21"/>
        <v/>
      </c>
      <c r="K68">
        <f t="shared" si="22"/>
        <v>0</v>
      </c>
    </row>
    <row r="69" spans="1:11" x14ac:dyDescent="0.3">
      <c r="A69">
        <v>67</v>
      </c>
      <c r="B69" s="16" t="str">
        <f t="shared" si="16"/>
        <v>43</v>
      </c>
      <c r="C69" s="11" t="s">
        <v>35</v>
      </c>
      <c r="D69" s="7" t="s">
        <v>64</v>
      </c>
      <c r="E69" s="11"/>
      <c r="F69" s="33" t="s">
        <v>59</v>
      </c>
      <c r="H69" s="46"/>
      <c r="I69" s="2" t="str">
        <f t="shared" si="20"/>
        <v>00000000</v>
      </c>
      <c r="J69" t="str">
        <f t="shared" si="21"/>
        <v/>
      </c>
      <c r="K69">
        <f t="shared" si="22"/>
        <v>0</v>
      </c>
    </row>
    <row r="70" spans="1:11" x14ac:dyDescent="0.3">
      <c r="A70">
        <v>68</v>
      </c>
      <c r="B70" s="16" t="str">
        <f t="shared" ref="B70:B81" si="23">DEC2HEX(A70)</f>
        <v>44</v>
      </c>
      <c r="C70" s="11" t="s">
        <v>35</v>
      </c>
      <c r="D70" s="7" t="s">
        <v>3</v>
      </c>
      <c r="E70" s="11"/>
      <c r="F70" s="33" t="s">
        <v>60</v>
      </c>
      <c r="H70" s="46"/>
      <c r="I70" s="2" t="str">
        <f t="shared" si="20"/>
        <v>00000000</v>
      </c>
      <c r="J70" t="str">
        <f t="shared" si="21"/>
        <v/>
      </c>
      <c r="K70">
        <f t="shared" si="22"/>
        <v>0</v>
      </c>
    </row>
    <row r="71" spans="1:11" x14ac:dyDescent="0.3">
      <c r="A71">
        <v>69</v>
      </c>
      <c r="B71" s="16" t="str">
        <f t="shared" si="23"/>
        <v>45</v>
      </c>
      <c r="C71" s="11" t="s">
        <v>35</v>
      </c>
      <c r="D71" s="7" t="s">
        <v>31</v>
      </c>
      <c r="E71" s="11"/>
      <c r="F71" s="33" t="s">
        <v>60</v>
      </c>
      <c r="H71" s="46"/>
      <c r="I71" s="2" t="str">
        <f t="shared" si="20"/>
        <v>00000000</v>
      </c>
      <c r="J71" t="str">
        <f t="shared" si="21"/>
        <v/>
      </c>
      <c r="K71">
        <f t="shared" si="22"/>
        <v>0</v>
      </c>
    </row>
    <row r="72" spans="1:11" x14ac:dyDescent="0.3">
      <c r="A72">
        <v>70</v>
      </c>
      <c r="B72" s="16" t="str">
        <f t="shared" si="23"/>
        <v>46</v>
      </c>
      <c r="C72" s="11" t="s">
        <v>35</v>
      </c>
      <c r="D72" s="7" t="s">
        <v>32</v>
      </c>
      <c r="E72" s="11"/>
      <c r="F72" s="33" t="s">
        <v>59</v>
      </c>
      <c r="H72" s="46"/>
      <c r="I72" s="2" t="str">
        <f t="shared" si="20"/>
        <v>00000000</v>
      </c>
      <c r="J72" t="str">
        <f t="shared" si="21"/>
        <v/>
      </c>
      <c r="K72">
        <f t="shared" si="22"/>
        <v>0</v>
      </c>
    </row>
    <row r="73" spans="1:11" x14ac:dyDescent="0.3">
      <c r="A73">
        <v>71</v>
      </c>
      <c r="B73" s="16" t="str">
        <f t="shared" si="23"/>
        <v>47</v>
      </c>
      <c r="C73" s="11" t="s">
        <v>35</v>
      </c>
      <c r="D73" s="7" t="s">
        <v>33</v>
      </c>
      <c r="E73" s="11"/>
      <c r="F73" s="33" t="s">
        <v>59</v>
      </c>
      <c r="H73" s="46"/>
      <c r="I73" s="2" t="str">
        <f t="shared" si="20"/>
        <v>00000000</v>
      </c>
      <c r="J73" t="str">
        <f t="shared" si="21"/>
        <v/>
      </c>
      <c r="K73">
        <f t="shared" si="22"/>
        <v>0</v>
      </c>
    </row>
    <row r="74" spans="1:11" x14ac:dyDescent="0.3">
      <c r="A74">
        <v>72</v>
      </c>
      <c r="B74" s="16" t="str">
        <f t="shared" si="23"/>
        <v>48</v>
      </c>
      <c r="C74" s="11" t="s">
        <v>35</v>
      </c>
      <c r="D74" s="7" t="s">
        <v>34</v>
      </c>
      <c r="E74" s="11"/>
      <c r="F74" s="33" t="s">
        <v>60</v>
      </c>
      <c r="H74" s="46"/>
      <c r="I74" s="2" t="str">
        <f t="shared" si="20"/>
        <v>00000000</v>
      </c>
      <c r="J74" t="str">
        <f t="shared" si="21"/>
        <v/>
      </c>
      <c r="K74">
        <f t="shared" si="22"/>
        <v>0</v>
      </c>
    </row>
    <row r="75" spans="1:11" x14ac:dyDescent="0.3">
      <c r="A75">
        <v>73</v>
      </c>
      <c r="B75" s="16" t="str">
        <f t="shared" si="23"/>
        <v>49</v>
      </c>
      <c r="C75" s="11" t="s">
        <v>35</v>
      </c>
      <c r="D75" s="7" t="s">
        <v>12</v>
      </c>
      <c r="E75" s="11"/>
      <c r="F75" s="33" t="s">
        <v>59</v>
      </c>
      <c r="H75" s="46"/>
      <c r="I75" s="2" t="str">
        <f t="shared" si="20"/>
        <v>00000000</v>
      </c>
      <c r="J75" t="str">
        <f t="shared" si="21"/>
        <v/>
      </c>
      <c r="K75">
        <f t="shared" si="22"/>
        <v>0</v>
      </c>
    </row>
    <row r="76" spans="1:11" ht="15" thickBot="1" x14ac:dyDescent="0.35">
      <c r="A76">
        <v>74</v>
      </c>
      <c r="B76" s="20" t="str">
        <f t="shared" si="23"/>
        <v>4A</v>
      </c>
      <c r="C76" s="21" t="s">
        <v>35</v>
      </c>
      <c r="D76" s="34" t="s">
        <v>4</v>
      </c>
      <c r="E76" s="21"/>
      <c r="F76" s="35" t="s">
        <v>60</v>
      </c>
      <c r="H76" s="47"/>
      <c r="I76" s="2" t="str">
        <f t="shared" si="20"/>
        <v>00000000</v>
      </c>
      <c r="J76" t="str">
        <f t="shared" si="21"/>
        <v/>
      </c>
      <c r="K76">
        <f t="shared" si="22"/>
        <v>0</v>
      </c>
    </row>
    <row r="77" spans="1:11" ht="15" hidden="1" thickBot="1" x14ac:dyDescent="0.35">
      <c r="A77">
        <v>75</v>
      </c>
      <c r="B77" s="2" t="str">
        <f t="shared" si="23"/>
        <v>4B</v>
      </c>
      <c r="C77" t="s">
        <v>54</v>
      </c>
      <c r="D77" t="s">
        <v>54</v>
      </c>
      <c r="E77"/>
      <c r="F77">
        <v>0</v>
      </c>
    </row>
    <row r="78" spans="1:11" ht="15" hidden="1" thickBot="1" x14ac:dyDescent="0.35">
      <c r="A78">
        <v>76</v>
      </c>
      <c r="B78" s="2" t="str">
        <f t="shared" si="23"/>
        <v>4C</v>
      </c>
      <c r="C78" t="s">
        <v>54</v>
      </c>
      <c r="D78" t="s">
        <v>54</v>
      </c>
      <c r="E78"/>
      <c r="F78">
        <v>0</v>
      </c>
    </row>
    <row r="79" spans="1:11" ht="15" hidden="1" thickBot="1" x14ac:dyDescent="0.35">
      <c r="A79">
        <v>77</v>
      </c>
      <c r="B79" s="2" t="str">
        <f t="shared" si="23"/>
        <v>4D</v>
      </c>
      <c r="C79" t="s">
        <v>54</v>
      </c>
      <c r="D79" t="s">
        <v>54</v>
      </c>
      <c r="E79"/>
      <c r="F79">
        <v>0</v>
      </c>
    </row>
    <row r="80" spans="1:11" ht="15" hidden="1" thickBot="1" x14ac:dyDescent="0.35">
      <c r="A80">
        <v>78</v>
      </c>
      <c r="B80" s="2" t="str">
        <f t="shared" si="23"/>
        <v>4E</v>
      </c>
      <c r="C80" t="s">
        <v>54</v>
      </c>
      <c r="D80" t="s">
        <v>54</v>
      </c>
      <c r="E80"/>
      <c r="F80">
        <v>0</v>
      </c>
    </row>
    <row r="81" spans="1:11" ht="15" hidden="1" thickBot="1" x14ac:dyDescent="0.35">
      <c r="A81">
        <v>79</v>
      </c>
      <c r="B81" s="2" t="str">
        <f t="shared" si="23"/>
        <v>4F</v>
      </c>
      <c r="C81" t="s">
        <v>54</v>
      </c>
      <c r="D81" t="s">
        <v>54</v>
      </c>
      <c r="E81"/>
      <c r="F81">
        <v>0</v>
      </c>
    </row>
    <row r="82" spans="1:11" x14ac:dyDescent="0.3">
      <c r="A82">
        <v>80</v>
      </c>
      <c r="B82" s="22" t="str">
        <f t="shared" ref="B82:B92" si="24">DEC2HEX(A82)</f>
        <v>50</v>
      </c>
      <c r="C82" s="23" t="s">
        <v>38</v>
      </c>
      <c r="D82" s="36" t="s">
        <v>3</v>
      </c>
      <c r="E82" s="23"/>
      <c r="F82" s="37" t="s">
        <v>60</v>
      </c>
      <c r="H82" s="42"/>
      <c r="I82" s="2" t="str">
        <f t="shared" ref="I82:I87" si="25">DEC2HEX(H82,8)</f>
        <v>00000000</v>
      </c>
      <c r="J82" t="str">
        <f t="shared" ref="J82:J87" si="26">IF(H82="","",CONCATENATE(B82,I82))</f>
        <v/>
      </c>
      <c r="K82">
        <f t="shared" ref="K82:K87" si="27">IF(F82="YES",IF(J82&lt;&gt;"",1,),)</f>
        <v>0</v>
      </c>
    </row>
    <row r="83" spans="1:11" x14ac:dyDescent="0.3">
      <c r="A83">
        <v>81</v>
      </c>
      <c r="B83" s="17" t="str">
        <f t="shared" si="24"/>
        <v>51</v>
      </c>
      <c r="C83" s="12" t="s">
        <v>38</v>
      </c>
      <c r="D83" s="8" t="s">
        <v>31</v>
      </c>
      <c r="E83" s="12"/>
      <c r="F83" s="29" t="s">
        <v>60</v>
      </c>
      <c r="H83" s="43"/>
      <c r="I83" s="2" t="str">
        <f t="shared" si="25"/>
        <v>00000000</v>
      </c>
      <c r="J83" t="str">
        <f t="shared" si="26"/>
        <v/>
      </c>
      <c r="K83">
        <f t="shared" si="27"/>
        <v>0</v>
      </c>
    </row>
    <row r="84" spans="1:11" x14ac:dyDescent="0.3">
      <c r="A84">
        <v>82</v>
      </c>
      <c r="B84" s="17" t="str">
        <f t="shared" si="24"/>
        <v>52</v>
      </c>
      <c r="C84" s="12" t="s">
        <v>38</v>
      </c>
      <c r="D84" s="8" t="s">
        <v>36</v>
      </c>
      <c r="E84" s="12"/>
      <c r="F84" s="29" t="s">
        <v>59</v>
      </c>
      <c r="H84" s="43"/>
      <c r="I84" s="2" t="str">
        <f t="shared" si="25"/>
        <v>00000000</v>
      </c>
      <c r="J84" t="str">
        <f t="shared" si="26"/>
        <v/>
      </c>
      <c r="K84">
        <f t="shared" si="27"/>
        <v>0</v>
      </c>
    </row>
    <row r="85" spans="1:11" x14ac:dyDescent="0.3">
      <c r="A85">
        <v>83</v>
      </c>
      <c r="B85" s="17" t="str">
        <f t="shared" si="24"/>
        <v>53</v>
      </c>
      <c r="C85" s="12" t="s">
        <v>38</v>
      </c>
      <c r="D85" s="8" t="s">
        <v>37</v>
      </c>
      <c r="E85" s="12"/>
      <c r="F85" s="29" t="s">
        <v>59</v>
      </c>
      <c r="H85" s="43"/>
      <c r="I85" s="2" t="str">
        <f t="shared" si="25"/>
        <v>00000000</v>
      </c>
      <c r="J85" t="str">
        <f t="shared" si="26"/>
        <v/>
      </c>
      <c r="K85">
        <f t="shared" si="27"/>
        <v>0</v>
      </c>
    </row>
    <row r="86" spans="1:11" x14ac:dyDescent="0.3">
      <c r="A86">
        <v>84</v>
      </c>
      <c r="B86" s="17" t="str">
        <f t="shared" si="24"/>
        <v>54</v>
      </c>
      <c r="C86" s="12" t="s">
        <v>38</v>
      </c>
      <c r="D86" s="8" t="s">
        <v>34</v>
      </c>
      <c r="E86" s="12"/>
      <c r="F86" s="29" t="s">
        <v>60</v>
      </c>
      <c r="H86" s="43"/>
      <c r="I86" s="2" t="str">
        <f t="shared" si="25"/>
        <v>00000000</v>
      </c>
      <c r="J86" t="str">
        <f t="shared" si="26"/>
        <v/>
      </c>
      <c r="K86">
        <f t="shared" si="27"/>
        <v>0</v>
      </c>
    </row>
    <row r="87" spans="1:11" ht="15" thickBot="1" x14ac:dyDescent="0.35">
      <c r="A87">
        <v>85</v>
      </c>
      <c r="B87" s="18" t="str">
        <f t="shared" si="24"/>
        <v>55</v>
      </c>
      <c r="C87" s="19" t="s">
        <v>38</v>
      </c>
      <c r="D87" s="30" t="s">
        <v>4</v>
      </c>
      <c r="E87" s="19"/>
      <c r="F87" s="31" t="s">
        <v>60</v>
      </c>
      <c r="H87" s="44"/>
      <c r="I87" s="2" t="str">
        <f t="shared" si="25"/>
        <v>00000000</v>
      </c>
      <c r="J87" t="str">
        <f t="shared" si="26"/>
        <v/>
      </c>
      <c r="K87">
        <f t="shared" si="27"/>
        <v>0</v>
      </c>
    </row>
    <row r="88" spans="1:11" ht="15" hidden="1" thickBot="1" x14ac:dyDescent="0.35">
      <c r="A88">
        <v>86</v>
      </c>
      <c r="B88" s="2" t="str">
        <f t="shared" si="24"/>
        <v>56</v>
      </c>
      <c r="C88" t="s">
        <v>54</v>
      </c>
      <c r="D88" t="s">
        <v>54</v>
      </c>
      <c r="E88"/>
      <c r="F88">
        <v>0</v>
      </c>
    </row>
    <row r="89" spans="1:11" ht="15" hidden="1" thickBot="1" x14ac:dyDescent="0.35">
      <c r="A89">
        <v>87</v>
      </c>
      <c r="B89" s="2" t="str">
        <f t="shared" si="24"/>
        <v>57</v>
      </c>
      <c r="C89" t="s">
        <v>54</v>
      </c>
      <c r="D89" t="s">
        <v>54</v>
      </c>
      <c r="E89"/>
      <c r="F89">
        <v>0</v>
      </c>
    </row>
    <row r="90" spans="1:11" ht="15" hidden="1" thickBot="1" x14ac:dyDescent="0.35">
      <c r="A90">
        <v>88</v>
      </c>
      <c r="B90" s="2" t="str">
        <f t="shared" si="24"/>
        <v>58</v>
      </c>
      <c r="C90" t="s">
        <v>54</v>
      </c>
      <c r="D90" t="s">
        <v>54</v>
      </c>
      <c r="E90"/>
      <c r="F90">
        <v>0</v>
      </c>
    </row>
    <row r="91" spans="1:11" ht="15" hidden="1" thickBot="1" x14ac:dyDescent="0.35">
      <c r="A91">
        <v>89</v>
      </c>
      <c r="B91" s="2" t="str">
        <f t="shared" si="24"/>
        <v>59</v>
      </c>
      <c r="C91" t="s">
        <v>54</v>
      </c>
      <c r="D91" t="s">
        <v>54</v>
      </c>
      <c r="E91"/>
      <c r="F91">
        <v>0</v>
      </c>
    </row>
    <row r="92" spans="1:11" ht="15" hidden="1" thickBot="1" x14ac:dyDescent="0.35">
      <c r="A92">
        <v>90</v>
      </c>
      <c r="B92" s="2" t="str">
        <f t="shared" si="24"/>
        <v>5A</v>
      </c>
      <c r="C92" t="s">
        <v>54</v>
      </c>
      <c r="D92" t="s">
        <v>54</v>
      </c>
      <c r="E92"/>
      <c r="F92">
        <v>0</v>
      </c>
    </row>
    <row r="93" spans="1:11" x14ac:dyDescent="0.3">
      <c r="A93">
        <v>91</v>
      </c>
      <c r="B93" s="13" t="str">
        <f t="shared" ref="B93:B105" si="28">DEC2HEX(A93)</f>
        <v>5B</v>
      </c>
      <c r="C93" s="15" t="s">
        <v>41</v>
      </c>
      <c r="D93" s="27" t="s">
        <v>4</v>
      </c>
      <c r="E93" s="15"/>
      <c r="F93" s="32" t="s">
        <v>60</v>
      </c>
      <c r="H93" s="45"/>
      <c r="I93" s="2" t="str">
        <f t="shared" ref="I93:I100" si="29">DEC2HEX(H93,8)</f>
        <v>00000000</v>
      </c>
      <c r="J93" t="str">
        <f t="shared" ref="J93:J100" si="30">IF(H93="","",CONCATENATE(B93,I93))</f>
        <v/>
      </c>
      <c r="K93">
        <f t="shared" ref="K93:K100" si="31">IF(F93="YES",IF(J93&lt;&gt;"",1,),)</f>
        <v>0</v>
      </c>
    </row>
    <row r="94" spans="1:11" x14ac:dyDescent="0.3">
      <c r="A94">
        <v>92</v>
      </c>
      <c r="B94" s="16" t="str">
        <f t="shared" si="28"/>
        <v>5C</v>
      </c>
      <c r="C94" s="11" t="s">
        <v>41</v>
      </c>
      <c r="D94" s="7" t="s">
        <v>3</v>
      </c>
      <c r="E94" s="11"/>
      <c r="F94" s="33" t="s">
        <v>60</v>
      </c>
      <c r="H94" s="46"/>
      <c r="I94" s="2" t="str">
        <f t="shared" si="29"/>
        <v>00000000</v>
      </c>
      <c r="J94" t="str">
        <f t="shared" si="30"/>
        <v/>
      </c>
      <c r="K94">
        <f t="shared" si="31"/>
        <v>0</v>
      </c>
    </row>
    <row r="95" spans="1:11" x14ac:dyDescent="0.3">
      <c r="A95">
        <v>93</v>
      </c>
      <c r="B95" s="16" t="str">
        <f t="shared" si="28"/>
        <v>5D</v>
      </c>
      <c r="C95" s="11" t="s">
        <v>41</v>
      </c>
      <c r="D95" s="7" t="s">
        <v>31</v>
      </c>
      <c r="E95" s="11"/>
      <c r="F95" s="33" t="s">
        <v>60</v>
      </c>
      <c r="H95" s="46"/>
      <c r="I95" s="2" t="str">
        <f t="shared" si="29"/>
        <v>00000000</v>
      </c>
      <c r="J95" t="str">
        <f t="shared" si="30"/>
        <v/>
      </c>
      <c r="K95">
        <f t="shared" si="31"/>
        <v>0</v>
      </c>
    </row>
    <row r="96" spans="1:11" x14ac:dyDescent="0.3">
      <c r="A96">
        <v>94</v>
      </c>
      <c r="B96" s="16" t="str">
        <f t="shared" si="28"/>
        <v>5E</v>
      </c>
      <c r="C96" s="11" t="s">
        <v>41</v>
      </c>
      <c r="D96" s="7" t="s">
        <v>34</v>
      </c>
      <c r="E96" s="11"/>
      <c r="F96" s="33" t="s">
        <v>60</v>
      </c>
      <c r="H96" s="46"/>
      <c r="I96" s="2" t="str">
        <f t="shared" si="29"/>
        <v>00000000</v>
      </c>
      <c r="J96" t="str">
        <f t="shared" si="30"/>
        <v/>
      </c>
      <c r="K96">
        <f t="shared" si="31"/>
        <v>0</v>
      </c>
    </row>
    <row r="97" spans="1:11" x14ac:dyDescent="0.3">
      <c r="A97">
        <v>95</v>
      </c>
      <c r="B97" s="16" t="str">
        <f t="shared" si="28"/>
        <v>5F</v>
      </c>
      <c r="C97" s="11" t="s">
        <v>41</v>
      </c>
      <c r="D97" s="7" t="s">
        <v>39</v>
      </c>
      <c r="E97" s="11"/>
      <c r="F97" s="33" t="s">
        <v>60</v>
      </c>
      <c r="H97" s="46"/>
      <c r="I97" s="2" t="str">
        <f t="shared" si="29"/>
        <v>00000000</v>
      </c>
      <c r="J97" t="str">
        <f t="shared" si="30"/>
        <v/>
      </c>
      <c r="K97">
        <f t="shared" si="31"/>
        <v>0</v>
      </c>
    </row>
    <row r="98" spans="1:11" x14ac:dyDescent="0.3">
      <c r="A98">
        <v>96</v>
      </c>
      <c r="B98" s="16" t="str">
        <f t="shared" si="28"/>
        <v>60</v>
      </c>
      <c r="C98" s="11" t="s">
        <v>41</v>
      </c>
      <c r="D98" s="7" t="s">
        <v>32</v>
      </c>
      <c r="E98" s="11"/>
      <c r="F98" s="33" t="s">
        <v>59</v>
      </c>
      <c r="H98" s="46"/>
      <c r="I98" s="2" t="str">
        <f t="shared" si="29"/>
        <v>00000000</v>
      </c>
      <c r="J98" t="str">
        <f t="shared" si="30"/>
        <v/>
      </c>
      <c r="K98">
        <f t="shared" si="31"/>
        <v>0</v>
      </c>
    </row>
    <row r="99" spans="1:11" x14ac:dyDescent="0.3">
      <c r="A99">
        <v>97</v>
      </c>
      <c r="B99" s="16" t="str">
        <f t="shared" si="28"/>
        <v>61</v>
      </c>
      <c r="C99" s="11" t="s">
        <v>41</v>
      </c>
      <c r="D99" s="7" t="s">
        <v>33</v>
      </c>
      <c r="E99" s="11"/>
      <c r="F99" s="33" t="s">
        <v>59</v>
      </c>
      <c r="H99" s="46"/>
      <c r="I99" s="2" t="str">
        <f t="shared" si="29"/>
        <v>00000000</v>
      </c>
      <c r="J99" t="str">
        <f t="shared" si="30"/>
        <v/>
      </c>
      <c r="K99">
        <f t="shared" si="31"/>
        <v>0</v>
      </c>
    </row>
    <row r="100" spans="1:11" ht="15" thickBot="1" x14ac:dyDescent="0.35">
      <c r="A100">
        <v>98</v>
      </c>
      <c r="B100" s="20" t="str">
        <f t="shared" si="28"/>
        <v>62</v>
      </c>
      <c r="C100" s="21" t="s">
        <v>41</v>
      </c>
      <c r="D100" s="34" t="s">
        <v>40</v>
      </c>
      <c r="E100" s="21"/>
      <c r="F100" s="35" t="s">
        <v>59</v>
      </c>
      <c r="H100" s="47"/>
      <c r="I100" s="2" t="str">
        <f t="shared" si="29"/>
        <v>00000000</v>
      </c>
      <c r="J100" t="str">
        <f t="shared" si="30"/>
        <v/>
      </c>
      <c r="K100">
        <f t="shared" si="31"/>
        <v>0</v>
      </c>
    </row>
    <row r="101" spans="1:11" ht="15" hidden="1" thickBot="1" x14ac:dyDescent="0.35">
      <c r="A101">
        <v>99</v>
      </c>
      <c r="B101" s="2" t="str">
        <f t="shared" si="28"/>
        <v>63</v>
      </c>
      <c r="C101" t="s">
        <v>54</v>
      </c>
      <c r="D101" t="s">
        <v>54</v>
      </c>
      <c r="E101"/>
      <c r="F101">
        <v>0</v>
      </c>
    </row>
    <row r="102" spans="1:11" ht="15" hidden="1" thickBot="1" x14ac:dyDescent="0.35">
      <c r="A102">
        <v>100</v>
      </c>
      <c r="B102" s="2" t="str">
        <f t="shared" si="28"/>
        <v>64</v>
      </c>
      <c r="C102" t="s">
        <v>54</v>
      </c>
      <c r="D102" t="s">
        <v>54</v>
      </c>
      <c r="E102"/>
      <c r="F102">
        <v>0</v>
      </c>
    </row>
    <row r="103" spans="1:11" ht="15" hidden="1" thickBot="1" x14ac:dyDescent="0.35">
      <c r="A103">
        <v>101</v>
      </c>
      <c r="B103" s="2" t="str">
        <f t="shared" si="28"/>
        <v>65</v>
      </c>
      <c r="C103" t="s">
        <v>54</v>
      </c>
      <c r="D103" t="s">
        <v>54</v>
      </c>
      <c r="E103"/>
      <c r="F103">
        <v>0</v>
      </c>
    </row>
    <row r="104" spans="1:11" ht="15" hidden="1" thickBot="1" x14ac:dyDescent="0.35">
      <c r="A104">
        <v>102</v>
      </c>
      <c r="B104" s="2" t="str">
        <f t="shared" si="28"/>
        <v>66</v>
      </c>
      <c r="C104" t="s">
        <v>54</v>
      </c>
      <c r="D104" t="s">
        <v>54</v>
      </c>
      <c r="E104"/>
      <c r="F104">
        <v>0</v>
      </c>
    </row>
    <row r="105" spans="1:11" ht="15" hidden="1" thickBot="1" x14ac:dyDescent="0.35">
      <c r="A105">
        <v>103</v>
      </c>
      <c r="B105" s="2" t="str">
        <f t="shared" si="28"/>
        <v>67</v>
      </c>
      <c r="C105" t="s">
        <v>54</v>
      </c>
      <c r="D105" t="s">
        <v>54</v>
      </c>
      <c r="E105"/>
      <c r="F105">
        <v>0</v>
      </c>
    </row>
    <row r="106" spans="1:11" x14ac:dyDescent="0.3">
      <c r="A106">
        <v>104</v>
      </c>
      <c r="B106" s="22" t="str">
        <f t="shared" ref="B106:B116" si="32">DEC2HEX(A106)</f>
        <v>68</v>
      </c>
      <c r="C106" s="23" t="s">
        <v>50</v>
      </c>
      <c r="D106" s="36" t="s">
        <v>42</v>
      </c>
      <c r="E106" s="23"/>
      <c r="F106" s="37" t="s">
        <v>59</v>
      </c>
      <c r="H106" s="42"/>
      <c r="I106" s="2" t="str">
        <f t="shared" ref="I106:I116" si="33">DEC2HEX(H106,8)</f>
        <v>00000000</v>
      </c>
      <c r="J106" t="str">
        <f t="shared" ref="J106:J116" si="34">IF(H106="","",CONCATENATE(B106,I106))</f>
        <v/>
      </c>
      <c r="K106">
        <f t="shared" ref="K106:K116" si="35">IF(F106="YES",IF(J106&lt;&gt;"",1,),)</f>
        <v>0</v>
      </c>
    </row>
    <row r="107" spans="1:11" x14ac:dyDescent="0.3">
      <c r="A107">
        <v>105</v>
      </c>
      <c r="B107" s="17" t="str">
        <f t="shared" si="32"/>
        <v>69</v>
      </c>
      <c r="C107" s="12" t="s">
        <v>50</v>
      </c>
      <c r="D107" s="8" t="s">
        <v>43</v>
      </c>
      <c r="E107" s="12"/>
      <c r="F107" s="29" t="s">
        <v>59</v>
      </c>
      <c r="H107" s="43"/>
      <c r="I107" s="2" t="str">
        <f t="shared" si="33"/>
        <v>00000000</v>
      </c>
      <c r="J107" t="str">
        <f t="shared" si="34"/>
        <v/>
      </c>
      <c r="K107">
        <f t="shared" si="35"/>
        <v>0</v>
      </c>
    </row>
    <row r="108" spans="1:11" x14ac:dyDescent="0.3">
      <c r="A108">
        <v>106</v>
      </c>
      <c r="B108" s="17" t="str">
        <f t="shared" si="32"/>
        <v>6A</v>
      </c>
      <c r="C108" s="12" t="s">
        <v>50</v>
      </c>
      <c r="D108" s="8" t="s">
        <v>44</v>
      </c>
      <c r="E108" s="12"/>
      <c r="F108" s="29" t="s">
        <v>59</v>
      </c>
      <c r="H108" s="43"/>
      <c r="I108" s="2" t="str">
        <f t="shared" si="33"/>
        <v>00000000</v>
      </c>
      <c r="J108" t="str">
        <f t="shared" si="34"/>
        <v/>
      </c>
      <c r="K108">
        <f t="shared" si="35"/>
        <v>0</v>
      </c>
    </row>
    <row r="109" spans="1:11" x14ac:dyDescent="0.3">
      <c r="A109">
        <v>107</v>
      </c>
      <c r="B109" s="17" t="str">
        <f t="shared" si="32"/>
        <v>6B</v>
      </c>
      <c r="C109" s="12" t="s">
        <v>50</v>
      </c>
      <c r="D109" s="8" t="s">
        <v>4</v>
      </c>
      <c r="E109" s="12"/>
      <c r="F109" s="29" t="s">
        <v>60</v>
      </c>
      <c r="H109" s="43"/>
      <c r="I109" s="2" t="str">
        <f t="shared" si="33"/>
        <v>00000000</v>
      </c>
      <c r="J109" t="str">
        <f t="shared" si="34"/>
        <v/>
      </c>
      <c r="K109">
        <f t="shared" si="35"/>
        <v>0</v>
      </c>
    </row>
    <row r="110" spans="1:11" x14ac:dyDescent="0.3">
      <c r="A110">
        <v>108</v>
      </c>
      <c r="B110" s="17" t="str">
        <f t="shared" si="32"/>
        <v>6C</v>
      </c>
      <c r="C110" s="12" t="s">
        <v>50</v>
      </c>
      <c r="D110" s="8" t="s">
        <v>45</v>
      </c>
      <c r="E110" s="12"/>
      <c r="F110" s="29" t="s">
        <v>59</v>
      </c>
      <c r="H110" s="43"/>
      <c r="I110" s="2" t="str">
        <f t="shared" si="33"/>
        <v>00000000</v>
      </c>
      <c r="J110" t="str">
        <f t="shared" si="34"/>
        <v/>
      </c>
      <c r="K110">
        <f t="shared" si="35"/>
        <v>0</v>
      </c>
    </row>
    <row r="111" spans="1:11" x14ac:dyDescent="0.3">
      <c r="A111">
        <v>109</v>
      </c>
      <c r="B111" s="17" t="str">
        <f t="shared" si="32"/>
        <v>6D</v>
      </c>
      <c r="C111" s="12" t="s">
        <v>50</v>
      </c>
      <c r="D111" s="8" t="s">
        <v>46</v>
      </c>
      <c r="E111" s="12"/>
      <c r="F111" s="29" t="s">
        <v>59</v>
      </c>
      <c r="H111" s="43"/>
      <c r="I111" s="2" t="str">
        <f t="shared" si="33"/>
        <v>00000000</v>
      </c>
      <c r="J111" t="str">
        <f t="shared" si="34"/>
        <v/>
      </c>
      <c r="K111">
        <f t="shared" si="35"/>
        <v>0</v>
      </c>
    </row>
    <row r="112" spans="1:11" x14ac:dyDescent="0.3">
      <c r="A112">
        <v>110</v>
      </c>
      <c r="B112" s="17" t="str">
        <f t="shared" si="32"/>
        <v>6E</v>
      </c>
      <c r="C112" s="12" t="s">
        <v>50</v>
      </c>
      <c r="D112" s="8" t="s">
        <v>47</v>
      </c>
      <c r="E112" s="12"/>
      <c r="F112" s="29" t="s">
        <v>59</v>
      </c>
      <c r="H112" s="43"/>
      <c r="I112" s="2" t="str">
        <f t="shared" si="33"/>
        <v>00000000</v>
      </c>
      <c r="J112" t="str">
        <f t="shared" si="34"/>
        <v/>
      </c>
      <c r="K112">
        <f t="shared" si="35"/>
        <v>0</v>
      </c>
    </row>
    <row r="113" spans="1:11" x14ac:dyDescent="0.3">
      <c r="A113">
        <v>111</v>
      </c>
      <c r="B113" s="17" t="str">
        <f t="shared" si="32"/>
        <v>6F</v>
      </c>
      <c r="C113" s="12" t="s">
        <v>50</v>
      </c>
      <c r="D113" s="8" t="s">
        <v>48</v>
      </c>
      <c r="E113" s="12"/>
      <c r="F113" s="29" t="s">
        <v>59</v>
      </c>
      <c r="H113" s="43"/>
      <c r="I113" s="2" t="str">
        <f t="shared" si="33"/>
        <v>00000000</v>
      </c>
      <c r="J113" t="str">
        <f t="shared" si="34"/>
        <v/>
      </c>
      <c r="K113">
        <f t="shared" si="35"/>
        <v>0</v>
      </c>
    </row>
    <row r="114" spans="1:11" ht="15" thickBot="1" x14ac:dyDescent="0.35">
      <c r="A114">
        <v>112</v>
      </c>
      <c r="B114" s="17" t="str">
        <f t="shared" si="32"/>
        <v>70</v>
      </c>
      <c r="C114" s="12" t="s">
        <v>50</v>
      </c>
      <c r="D114" s="8" t="s">
        <v>49</v>
      </c>
      <c r="E114" s="12"/>
      <c r="F114" s="29" t="s">
        <v>59</v>
      </c>
      <c r="H114" s="43"/>
      <c r="I114" s="2" t="str">
        <f t="shared" si="33"/>
        <v>00000000</v>
      </c>
      <c r="J114" t="str">
        <f t="shared" si="34"/>
        <v/>
      </c>
      <c r="K114">
        <f t="shared" si="35"/>
        <v>0</v>
      </c>
    </row>
    <row r="115" spans="1:11" x14ac:dyDescent="0.3">
      <c r="A115">
        <v>113</v>
      </c>
      <c r="B115" s="13" t="str">
        <f t="shared" si="32"/>
        <v>71</v>
      </c>
      <c r="C115" s="15" t="s">
        <v>67</v>
      </c>
      <c r="D115" s="27" t="s">
        <v>68</v>
      </c>
      <c r="E115" s="15"/>
      <c r="F115" s="32" t="s">
        <v>59</v>
      </c>
      <c r="H115" s="45"/>
      <c r="I115" s="2" t="str">
        <f t="shared" si="33"/>
        <v>00000000</v>
      </c>
      <c r="J115" t="str">
        <f t="shared" si="34"/>
        <v/>
      </c>
      <c r="K115">
        <f t="shared" si="35"/>
        <v>0</v>
      </c>
    </row>
    <row r="116" spans="1:11" ht="15" thickBot="1" x14ac:dyDescent="0.35">
      <c r="A116">
        <v>114</v>
      </c>
      <c r="B116" s="20" t="str">
        <f t="shared" si="32"/>
        <v>72</v>
      </c>
      <c r="C116" s="21" t="s">
        <v>67</v>
      </c>
      <c r="D116" s="34" t="s">
        <v>69</v>
      </c>
      <c r="E116" s="21"/>
      <c r="F116" s="35" t="s">
        <v>59</v>
      </c>
      <c r="H116" s="47"/>
      <c r="I116" s="2" t="str">
        <f t="shared" si="33"/>
        <v>00000000</v>
      </c>
      <c r="J116" t="str">
        <f t="shared" si="34"/>
        <v/>
      </c>
      <c r="K116">
        <f t="shared" si="35"/>
        <v>0</v>
      </c>
    </row>
  </sheetData>
  <autoFilter ref="A1:F116">
    <filterColumn colId="2">
      <filters>
        <filter val="Alive"/>
        <filter val="Choc"/>
        <filter val="LoRa"/>
        <filter val="MPU"/>
        <filter val="Mvt"/>
        <filter val="Orient"/>
        <filter val="Rotation"/>
        <filter val="Select Algo"/>
        <filter val="Temp"/>
        <filter val="Tilt"/>
        <filter val="Vibe"/>
      </filters>
    </filterColumn>
  </autoFilter>
  <mergeCells count="13">
    <mergeCell ref="P35:R36"/>
    <mergeCell ref="I1:J1"/>
    <mergeCell ref="M13:V15"/>
    <mergeCell ref="M21:V21"/>
    <mergeCell ref="P1:W1"/>
    <mergeCell ref="N3:O3"/>
    <mergeCell ref="P3:R3"/>
    <mergeCell ref="T3:U3"/>
    <mergeCell ref="M1:O1"/>
    <mergeCell ref="M2:V2"/>
    <mergeCell ref="N6:O6"/>
    <mergeCell ref="P6:R6"/>
    <mergeCell ref="T6:U6"/>
  </mergeCells>
  <conditionalFormatting sqref="M21">
    <cfRule type="cellIs" dxfId="8" priority="5" operator="equal">
      <formula>"Movee need a reboot"</formula>
    </cfRule>
  </conditionalFormatting>
  <conditionalFormatting sqref="M13:V15">
    <cfRule type="containsText" dxfId="7" priority="3" operator="containsText" text="WARNING">
      <formula>NOT(ISERROR(SEARCH("WARNING",M13)))</formula>
    </cfRule>
    <cfRule type="containsText" dxfId="6" priority="4" operator="containsText" text="ERROR">
      <formula>NOT(ISERROR(SEARCH("ERROR",M13)))</formula>
    </cfRule>
  </conditionalFormatting>
  <conditionalFormatting sqref="P37:R56">
    <cfRule type="expression" dxfId="5" priority="1">
      <formula>$H$4="NO CHANGE"</formula>
    </cfRule>
  </conditionalFormatting>
  <dataValidations count="2">
    <dataValidation type="list" allowBlank="1" showInputMessage="1" showErrorMessage="1" sqref="H4">
      <formula1>"TO UPDATE,NO CHANGE"</formula1>
    </dataValidation>
    <dataValidation type="list" allowBlank="1" showInputMessage="1" showErrorMessage="1" sqref="R38:R46">
      <formula1>"ACTIVATED,DISABLED"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21"/>
  <sheetViews>
    <sheetView topLeftCell="B1" workbookViewId="0">
      <pane ySplit="1" topLeftCell="A2" activePane="bottomLeft" state="frozen"/>
      <selection pane="bottomLeft" activeCell="H6" sqref="H6"/>
    </sheetView>
  </sheetViews>
  <sheetFormatPr baseColWidth="10" defaultRowHeight="14.4" x14ac:dyDescent="0.3"/>
  <cols>
    <col min="1" max="1" width="11.44140625" hidden="1" customWidth="1"/>
    <col min="2" max="2" width="4.5546875" style="68" customWidth="1"/>
    <col min="3" max="3" width="7.88671875" style="10" customWidth="1"/>
    <col min="4" max="4" width="20.5546875" style="10" customWidth="1"/>
    <col min="5" max="5" width="44.109375" style="10" customWidth="1"/>
    <col min="6" max="6" width="9.6640625" style="69" hidden="1" customWidth="1"/>
    <col min="7" max="7" width="1" customWidth="1"/>
    <col min="8" max="8" width="9.33203125" style="24" customWidth="1"/>
    <col min="9" max="10" width="11.44140625" style="2" hidden="1" customWidth="1"/>
    <col min="11" max="11" width="1" customWidth="1"/>
    <col min="13" max="15" width="18.5546875" customWidth="1"/>
    <col min="21" max="21" width="22.109375" bestFit="1" customWidth="1"/>
  </cols>
  <sheetData>
    <row r="1" spans="1:20" ht="22.5" customHeight="1" thickBot="1" x14ac:dyDescent="0.35">
      <c r="A1" s="1" t="s">
        <v>55</v>
      </c>
      <c r="B1" s="67" t="s">
        <v>56</v>
      </c>
      <c r="C1" s="49" t="s">
        <v>124</v>
      </c>
      <c r="D1" s="50" t="s">
        <v>125</v>
      </c>
      <c r="E1" s="50" t="s">
        <v>1</v>
      </c>
      <c r="F1" s="51" t="s">
        <v>58</v>
      </c>
      <c r="G1" s="52"/>
      <c r="H1" s="53" t="s">
        <v>122</v>
      </c>
      <c r="L1" s="54" t="s">
        <v>95</v>
      </c>
      <c r="M1" s="54"/>
      <c r="N1" s="93" t="str">
        <f>CONCATENATE(I2,I3,I4,I5,I6,I7,I8,I9,I10,I11,I12,I13,I14,I15,I16,I17,I18,I19,I20,I21,"FF")</f>
        <v>FF</v>
      </c>
      <c r="O1" s="93"/>
      <c r="P1" s="93"/>
      <c r="Q1" s="93"/>
      <c r="R1" s="93"/>
      <c r="S1" s="93"/>
      <c r="T1" s="93"/>
    </row>
    <row r="2" spans="1:20" hidden="1" x14ac:dyDescent="0.3">
      <c r="A2">
        <v>0</v>
      </c>
      <c r="B2" t="str">
        <f t="shared" ref="B2:B21" si="0">DEC2HEX(A2,2)</f>
        <v>00</v>
      </c>
      <c r="C2" t="s">
        <v>141</v>
      </c>
      <c r="D2" t="s">
        <v>141</v>
      </c>
      <c r="E2"/>
      <c r="F2" t="s">
        <v>59</v>
      </c>
      <c r="G2" s="2"/>
      <c r="H2" s="24" t="s">
        <v>59</v>
      </c>
      <c r="I2" s="2" t="str">
        <f>IF(H2="YES",B2,"")</f>
        <v/>
      </c>
      <c r="J2" s="2">
        <f t="shared" ref="J2:J20" si="1">IF(F2="YES",IF(H2="YES",1,),)</f>
        <v>0</v>
      </c>
    </row>
    <row r="3" spans="1:20" ht="15" thickBot="1" x14ac:dyDescent="0.35">
      <c r="A3">
        <v>1</v>
      </c>
      <c r="B3" t="str">
        <f t="shared" si="0"/>
        <v>01</v>
      </c>
      <c r="C3" t="s">
        <v>140</v>
      </c>
      <c r="D3" t="s">
        <v>136</v>
      </c>
      <c r="E3"/>
      <c r="F3" s="24" t="s">
        <v>59</v>
      </c>
      <c r="G3" s="2"/>
      <c r="H3" s="24" t="s">
        <v>59</v>
      </c>
      <c r="I3" s="2" t="str">
        <f t="shared" ref="I3:I21" si="2">IF(H3="YES",B3,"")</f>
        <v/>
      </c>
      <c r="J3" s="2">
        <f t="shared" si="1"/>
        <v>0</v>
      </c>
      <c r="L3" s="94" t="s">
        <v>97</v>
      </c>
      <c r="M3" s="94"/>
      <c r="N3" s="94"/>
      <c r="O3" s="94"/>
      <c r="P3" s="94"/>
    </row>
    <row r="4" spans="1:20" ht="17.399999999999999" thickBot="1" x14ac:dyDescent="0.35">
      <c r="A4">
        <v>2</v>
      </c>
      <c r="B4" t="str">
        <f t="shared" si="0"/>
        <v>02</v>
      </c>
      <c r="C4" t="s">
        <v>119</v>
      </c>
      <c r="D4" t="s">
        <v>126</v>
      </c>
      <c r="E4" t="s">
        <v>127</v>
      </c>
      <c r="F4" s="24" t="s">
        <v>60</v>
      </c>
      <c r="G4" s="2"/>
      <c r="H4" s="24" t="s">
        <v>59</v>
      </c>
      <c r="I4" s="2" t="str">
        <f t="shared" si="2"/>
        <v/>
      </c>
      <c r="J4" s="2">
        <f t="shared" si="1"/>
        <v>0</v>
      </c>
      <c r="L4" s="3" t="s">
        <v>0</v>
      </c>
      <c r="M4" s="55" t="s">
        <v>89</v>
      </c>
      <c r="N4" s="55" t="s">
        <v>90</v>
      </c>
      <c r="O4" s="55" t="s">
        <v>91</v>
      </c>
      <c r="P4" s="55" t="s">
        <v>73</v>
      </c>
    </row>
    <row r="5" spans="1:20" ht="17.399999999999999" thickBot="1" x14ac:dyDescent="0.35">
      <c r="A5">
        <v>3</v>
      </c>
      <c r="B5" t="str">
        <f t="shared" si="0"/>
        <v>03</v>
      </c>
      <c r="C5" t="s">
        <v>140</v>
      </c>
      <c r="D5" t="s">
        <v>128</v>
      </c>
      <c r="E5" t="s">
        <v>129</v>
      </c>
      <c r="F5" s="24" t="s">
        <v>60</v>
      </c>
      <c r="G5" s="2"/>
      <c r="H5" s="24" t="s">
        <v>59</v>
      </c>
      <c r="I5" s="2" t="str">
        <f t="shared" si="2"/>
        <v/>
      </c>
      <c r="J5" s="2">
        <f t="shared" si="1"/>
        <v>0</v>
      </c>
      <c r="L5" s="5" t="s">
        <v>92</v>
      </c>
      <c r="M5" s="56" t="s">
        <v>93</v>
      </c>
      <c r="N5" s="56" t="s">
        <v>93</v>
      </c>
      <c r="O5" s="56" t="s">
        <v>93</v>
      </c>
      <c r="P5" s="56" t="s">
        <v>93</v>
      </c>
    </row>
    <row r="6" spans="1:20" ht="17.399999999999999" thickBot="1" x14ac:dyDescent="0.35">
      <c r="A6">
        <v>4</v>
      </c>
      <c r="B6" t="str">
        <f t="shared" si="0"/>
        <v>04</v>
      </c>
      <c r="C6" t="s">
        <v>139</v>
      </c>
      <c r="D6" t="s">
        <v>130</v>
      </c>
      <c r="E6" t="s">
        <v>131</v>
      </c>
      <c r="F6" s="24" t="s">
        <v>59</v>
      </c>
      <c r="G6" s="2"/>
      <c r="H6" s="24" t="s">
        <v>59</v>
      </c>
      <c r="I6" s="2" t="str">
        <f t="shared" si="2"/>
        <v/>
      </c>
      <c r="J6" s="2">
        <f t="shared" si="1"/>
        <v>0</v>
      </c>
      <c r="L6" s="5" t="s">
        <v>74</v>
      </c>
      <c r="M6" s="56" t="s">
        <v>75</v>
      </c>
      <c r="N6" s="57" t="s">
        <v>94</v>
      </c>
      <c r="O6" s="57" t="s">
        <v>94</v>
      </c>
      <c r="P6" s="56" t="s">
        <v>75</v>
      </c>
    </row>
    <row r="7" spans="1:20" x14ac:dyDescent="0.3">
      <c r="A7">
        <v>5</v>
      </c>
      <c r="B7" t="str">
        <f t="shared" si="0"/>
        <v>05</v>
      </c>
      <c r="C7" t="s">
        <v>139</v>
      </c>
      <c r="D7" t="s">
        <v>132</v>
      </c>
      <c r="E7" t="s">
        <v>134</v>
      </c>
      <c r="F7" s="24" t="s">
        <v>59</v>
      </c>
      <c r="G7" s="2"/>
      <c r="H7" s="24" t="s">
        <v>59</v>
      </c>
      <c r="I7" s="2" t="str">
        <f t="shared" si="2"/>
        <v/>
      </c>
      <c r="J7" s="2">
        <f t="shared" si="1"/>
        <v>0</v>
      </c>
      <c r="L7" s="91" t="str">
        <f>IF(LEN(N1)=((1)*3+1)*2,"WARNING : No more space into DL. 3 commands have already been selected!",IF(LEN(N1)&gt;((1)*3+1)*2,"ERROR : DL Frame will not be accepted by the Movee. Too much data.",""))</f>
        <v/>
      </c>
      <c r="M7" s="91"/>
      <c r="N7" s="91"/>
      <c r="O7" s="91"/>
      <c r="P7" s="91"/>
    </row>
    <row r="8" spans="1:20" x14ac:dyDescent="0.3">
      <c r="A8">
        <v>6</v>
      </c>
      <c r="B8" t="str">
        <f t="shared" si="0"/>
        <v>06</v>
      </c>
      <c r="C8" t="s">
        <v>139</v>
      </c>
      <c r="D8" t="s">
        <v>133</v>
      </c>
      <c r="E8" t="s">
        <v>135</v>
      </c>
      <c r="F8" s="24" t="s">
        <v>59</v>
      </c>
      <c r="G8" s="2"/>
      <c r="H8" s="24" t="s">
        <v>59</v>
      </c>
      <c r="I8" s="2" t="str">
        <f t="shared" si="2"/>
        <v/>
      </c>
      <c r="J8" s="2">
        <f t="shared" si="1"/>
        <v>0</v>
      </c>
      <c r="L8" s="92"/>
      <c r="M8" s="92"/>
      <c r="N8" s="92"/>
      <c r="O8" s="92"/>
      <c r="P8" s="92"/>
    </row>
    <row r="9" spans="1:20" ht="33.75" customHeight="1" x14ac:dyDescent="0.3">
      <c r="A9">
        <v>7</v>
      </c>
      <c r="B9" s="25" t="str">
        <f t="shared" si="0"/>
        <v>07</v>
      </c>
      <c r="C9" s="25" t="s">
        <v>139</v>
      </c>
      <c r="D9" s="25" t="s">
        <v>108</v>
      </c>
      <c r="E9" s="70" t="s">
        <v>109</v>
      </c>
      <c r="F9" s="26" t="s">
        <v>59</v>
      </c>
      <c r="G9" s="59"/>
      <c r="H9" s="26" t="s">
        <v>59</v>
      </c>
      <c r="I9" s="2" t="str">
        <f t="shared" si="2"/>
        <v/>
      </c>
      <c r="J9" s="2">
        <f t="shared" si="1"/>
        <v>0</v>
      </c>
      <c r="L9" s="79" t="str">
        <f>IF(SUM(J2:J21)&lt;&gt;0,"Movee need a reboot","")</f>
        <v/>
      </c>
      <c r="M9" s="79"/>
      <c r="N9" s="79"/>
      <c r="O9" s="79"/>
      <c r="P9" s="79"/>
    </row>
    <row r="10" spans="1:20" hidden="1" x14ac:dyDescent="0.3">
      <c r="A10">
        <v>8</v>
      </c>
      <c r="B10" t="str">
        <f t="shared" si="0"/>
        <v>08</v>
      </c>
      <c r="C10" t="s">
        <v>141</v>
      </c>
      <c r="D10" t="s">
        <v>141</v>
      </c>
      <c r="E10"/>
      <c r="F10" t="s">
        <v>59</v>
      </c>
      <c r="G10" s="2"/>
      <c r="H10" s="24" t="s">
        <v>59</v>
      </c>
      <c r="I10" s="2" t="str">
        <f t="shared" si="2"/>
        <v/>
      </c>
      <c r="J10" s="2">
        <f t="shared" si="1"/>
        <v>0</v>
      </c>
    </row>
    <row r="11" spans="1:20" hidden="1" x14ac:dyDescent="0.3">
      <c r="A11">
        <v>9</v>
      </c>
      <c r="B11" t="str">
        <f t="shared" si="0"/>
        <v>09</v>
      </c>
      <c r="C11" t="s">
        <v>141</v>
      </c>
      <c r="D11" t="s">
        <v>141</v>
      </c>
      <c r="E11"/>
      <c r="F11" t="s">
        <v>59</v>
      </c>
      <c r="G11" s="2"/>
      <c r="H11" s="24" t="s">
        <v>59</v>
      </c>
      <c r="I11" s="2" t="str">
        <f t="shared" si="2"/>
        <v/>
      </c>
      <c r="J11" s="2">
        <f t="shared" si="1"/>
        <v>0</v>
      </c>
    </row>
    <row r="12" spans="1:20" x14ac:dyDescent="0.3">
      <c r="A12">
        <v>10</v>
      </c>
      <c r="B12" t="str">
        <f t="shared" si="0"/>
        <v>0A</v>
      </c>
      <c r="C12" t="s">
        <v>119</v>
      </c>
      <c r="D12" t="s">
        <v>120</v>
      </c>
      <c r="E12" t="s">
        <v>148</v>
      </c>
      <c r="F12" s="24" t="s">
        <v>59</v>
      </c>
      <c r="G12" s="2"/>
      <c r="H12" s="24" t="s">
        <v>59</v>
      </c>
      <c r="I12" s="2" t="str">
        <f t="shared" si="2"/>
        <v/>
      </c>
      <c r="J12" s="2">
        <f t="shared" si="1"/>
        <v>0</v>
      </c>
    </row>
    <row r="13" spans="1:20" x14ac:dyDescent="0.3">
      <c r="A13">
        <v>11</v>
      </c>
      <c r="B13" t="str">
        <f t="shared" si="0"/>
        <v>0B</v>
      </c>
      <c r="C13" t="s">
        <v>119</v>
      </c>
      <c r="D13" t="s">
        <v>121</v>
      </c>
      <c r="E13" t="s">
        <v>147</v>
      </c>
      <c r="F13" s="24" t="s">
        <v>59</v>
      </c>
      <c r="G13" s="2"/>
      <c r="H13" s="24" t="s">
        <v>59</v>
      </c>
      <c r="I13" s="2" t="str">
        <f t="shared" si="2"/>
        <v/>
      </c>
      <c r="J13" s="2">
        <f t="shared" si="1"/>
        <v>0</v>
      </c>
    </row>
    <row r="14" spans="1:20" x14ac:dyDescent="0.3">
      <c r="A14">
        <v>12</v>
      </c>
      <c r="B14" t="str">
        <f t="shared" si="0"/>
        <v>0C</v>
      </c>
      <c r="C14" t="s">
        <v>119</v>
      </c>
      <c r="D14" t="s">
        <v>137</v>
      </c>
      <c r="E14" t="s">
        <v>144</v>
      </c>
      <c r="F14" s="24" t="s">
        <v>59</v>
      </c>
      <c r="G14" s="2"/>
      <c r="H14" s="24" t="s">
        <v>59</v>
      </c>
      <c r="I14" s="2" t="str">
        <f t="shared" si="2"/>
        <v/>
      </c>
      <c r="J14" s="2">
        <f t="shared" si="1"/>
        <v>0</v>
      </c>
    </row>
    <row r="15" spans="1:20" x14ac:dyDescent="0.3">
      <c r="A15">
        <v>13</v>
      </c>
      <c r="B15" t="str">
        <f t="shared" si="0"/>
        <v>0D</v>
      </c>
      <c r="C15" t="s">
        <v>119</v>
      </c>
      <c r="D15" t="s">
        <v>138</v>
      </c>
      <c r="E15" t="s">
        <v>146</v>
      </c>
      <c r="F15" s="24" t="s">
        <v>59</v>
      </c>
      <c r="G15" s="2"/>
      <c r="H15" s="24" t="s">
        <v>59</v>
      </c>
      <c r="I15" s="2" t="str">
        <f t="shared" si="2"/>
        <v/>
      </c>
      <c r="J15" s="2">
        <f t="shared" si="1"/>
        <v>0</v>
      </c>
      <c r="M15" t="s">
        <v>151</v>
      </c>
      <c r="N15" t="str">
        <f>N1</f>
        <v>FF</v>
      </c>
    </row>
    <row r="16" spans="1:20" ht="28.8" x14ac:dyDescent="0.3">
      <c r="A16">
        <v>14</v>
      </c>
      <c r="B16" s="25" t="str">
        <f t="shared" si="0"/>
        <v>0E</v>
      </c>
      <c r="C16" s="25" t="s">
        <v>119</v>
      </c>
      <c r="D16" s="25" t="s">
        <v>106</v>
      </c>
      <c r="E16" s="71" t="s">
        <v>145</v>
      </c>
      <c r="F16" s="26" t="s">
        <v>59</v>
      </c>
      <c r="G16" s="59"/>
      <c r="H16" s="26" t="s">
        <v>59</v>
      </c>
      <c r="I16" s="2" t="str">
        <f t="shared" si="2"/>
        <v/>
      </c>
      <c r="J16" s="2">
        <f t="shared" si="1"/>
        <v>0</v>
      </c>
    </row>
    <row r="17" spans="1:10" x14ac:dyDescent="0.3">
      <c r="A17">
        <v>15</v>
      </c>
      <c r="B17" t="str">
        <f t="shared" si="0"/>
        <v>0F</v>
      </c>
      <c r="C17" t="s">
        <v>119</v>
      </c>
      <c r="D17" t="s">
        <v>107</v>
      </c>
      <c r="E17" t="s">
        <v>146</v>
      </c>
      <c r="F17" s="24" t="s">
        <v>59</v>
      </c>
      <c r="G17" s="2"/>
      <c r="H17" s="24" t="s">
        <v>59</v>
      </c>
      <c r="I17" s="2" t="str">
        <f t="shared" si="2"/>
        <v/>
      </c>
      <c r="J17" s="2">
        <f t="shared" si="1"/>
        <v>0</v>
      </c>
    </row>
    <row r="18" spans="1:10" x14ac:dyDescent="0.3">
      <c r="A18">
        <v>16</v>
      </c>
      <c r="B18" t="str">
        <f t="shared" si="0"/>
        <v>10</v>
      </c>
      <c r="C18" t="s">
        <v>67</v>
      </c>
      <c r="D18" t="s">
        <v>104</v>
      </c>
      <c r="E18" t="s">
        <v>143</v>
      </c>
      <c r="F18" s="24" t="s">
        <v>60</v>
      </c>
      <c r="G18" s="2"/>
      <c r="H18" s="24" t="s">
        <v>59</v>
      </c>
      <c r="I18" s="2" t="str">
        <f t="shared" si="2"/>
        <v/>
      </c>
      <c r="J18" s="2">
        <f t="shared" si="1"/>
        <v>0</v>
      </c>
    </row>
    <row r="19" spans="1:10" x14ac:dyDescent="0.3">
      <c r="A19">
        <v>17</v>
      </c>
      <c r="B19" t="str">
        <f t="shared" si="0"/>
        <v>11</v>
      </c>
      <c r="C19" t="s">
        <v>67</v>
      </c>
      <c r="D19" t="s">
        <v>105</v>
      </c>
      <c r="E19" t="s">
        <v>142</v>
      </c>
      <c r="F19" s="24" t="s">
        <v>60</v>
      </c>
      <c r="G19" s="2"/>
      <c r="H19" s="24" t="s">
        <v>59</v>
      </c>
      <c r="I19" s="2" t="str">
        <f t="shared" si="2"/>
        <v/>
      </c>
      <c r="J19" s="2">
        <f t="shared" si="1"/>
        <v>0</v>
      </c>
    </row>
    <row r="20" spans="1:10" x14ac:dyDescent="0.3">
      <c r="A20">
        <v>18</v>
      </c>
      <c r="B20" t="str">
        <f t="shared" si="0"/>
        <v>12</v>
      </c>
      <c r="C20" t="s">
        <v>67</v>
      </c>
      <c r="D20" t="s">
        <v>101</v>
      </c>
      <c r="E20" t="s">
        <v>100</v>
      </c>
      <c r="F20" s="24" t="s">
        <v>59</v>
      </c>
      <c r="G20" s="2"/>
      <c r="H20" s="24" t="s">
        <v>59</v>
      </c>
      <c r="I20" s="2" t="str">
        <f t="shared" si="2"/>
        <v/>
      </c>
      <c r="J20" s="2">
        <f t="shared" si="1"/>
        <v>0</v>
      </c>
    </row>
    <row r="21" spans="1:10" x14ac:dyDescent="0.3">
      <c r="A21">
        <v>19</v>
      </c>
      <c r="B21" t="str">
        <f t="shared" si="0"/>
        <v>13</v>
      </c>
      <c r="C21" t="s">
        <v>67</v>
      </c>
      <c r="D21" t="s">
        <v>102</v>
      </c>
      <c r="E21" t="s">
        <v>103</v>
      </c>
      <c r="F21" s="24" t="s">
        <v>59</v>
      </c>
      <c r="G21" s="2"/>
      <c r="H21" s="24" t="s">
        <v>59</v>
      </c>
      <c r="I21" s="2" t="str">
        <f t="shared" si="2"/>
        <v/>
      </c>
      <c r="J21" s="2">
        <f t="shared" ref="J21" si="3">IF(F21="YES",IF(H21="YES",1,),)</f>
        <v>0</v>
      </c>
    </row>
  </sheetData>
  <autoFilter ref="A1:F21">
    <filterColumn colId="2">
      <filters>
        <filter val="Algo"/>
        <filter val="Debug"/>
        <filter val="LoRa"/>
        <filter val="User"/>
      </filters>
    </filterColumn>
  </autoFilter>
  <mergeCells count="4">
    <mergeCell ref="L7:P8"/>
    <mergeCell ref="L9:P9"/>
    <mergeCell ref="N1:T1"/>
    <mergeCell ref="L3:P3"/>
  </mergeCells>
  <conditionalFormatting sqref="L9">
    <cfRule type="cellIs" dxfId="4" priority="3" operator="equal">
      <formula>"Movee need a reboot"</formula>
    </cfRule>
  </conditionalFormatting>
  <conditionalFormatting sqref="L7">
    <cfRule type="containsText" dxfId="3" priority="1" operator="containsText" text="ERROR">
      <formula>NOT(ISERROR(SEARCH("ERROR",L7)))</formula>
    </cfRule>
    <cfRule type="containsText" dxfId="2" priority="2" operator="containsText" text="WARNING">
      <formula>NOT(ISERROR(SEARCH("WARNING",L7)))</formula>
    </cfRule>
  </conditionalFormatting>
  <dataValidations count="1">
    <dataValidation type="list" allowBlank="1" showInputMessage="1" showErrorMessage="1" sqref="H2:H21">
      <formula1>"YES,NO"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E8AD472ECDD54C89556B7B84D14B28" ma:contentTypeVersion="14" ma:contentTypeDescription="Crée un document." ma:contentTypeScope="" ma:versionID="47b6b791e608ba83f0cbfc7f34296939">
  <xsd:schema xmlns:xsd="http://www.w3.org/2001/XMLSchema" xmlns:xs="http://www.w3.org/2001/XMLSchema" xmlns:p="http://schemas.microsoft.com/office/2006/metadata/properties" xmlns:ns2="a741cfdf-f449-4120-9b09-abaf60dd7484" xmlns:ns3="6815b8fc-ca16-4285-8fd1-26f9c3d0e52c" targetNamespace="http://schemas.microsoft.com/office/2006/metadata/properties" ma:root="true" ma:fieldsID="c7e4538214437e14898207954e4447d4" ns2:_="" ns3:_="">
    <xsd:import namespace="a741cfdf-f449-4120-9b09-abaf60dd7484"/>
    <xsd:import namespace="6815b8fc-ca16-4285-8fd1-26f9c3d0e5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41cfdf-f449-4120-9b09-abaf60dd74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c3e4e118-5f82-4418-9a3c-577293acf5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5b8fc-ca16-4285-8fd1-26f9c3d0e52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e1a8245-562a-466f-b787-123c713391c1}" ma:internalName="TaxCatchAll" ma:showField="CatchAllData" ma:web="6815b8fc-ca16-4285-8fd1-26f9c3d0e5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15b8fc-ca16-4285-8fd1-26f9c3d0e52c" xsi:nil="true"/>
    <lcf76f155ced4ddcb4097134ff3c332f xmlns="a741cfdf-f449-4120-9b09-abaf60dd74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0D7555-B94B-4867-A6D4-73F4C16F881F}"/>
</file>

<file path=customXml/itemProps2.xml><?xml version="1.0" encoding="utf-8"?>
<ds:datastoreItem xmlns:ds="http://schemas.openxmlformats.org/officeDocument/2006/customXml" ds:itemID="{62A59581-84B6-4749-849C-8DB53FBF9C1A}"/>
</file>

<file path=customXml/itemProps3.xml><?xml version="1.0" encoding="utf-8"?>
<ds:datastoreItem xmlns:ds="http://schemas.openxmlformats.org/officeDocument/2006/customXml" ds:itemID="{1BA88A26-4854-492F-A6BF-A72E395EDD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Parameters</vt:lpstr>
      <vt:lpstr>Commands</vt:lpstr>
      <vt:lpstr>Parameters!_ftn1</vt:lpstr>
      <vt:lpstr>Parameters!_ftnref1</vt:lpstr>
    </vt:vector>
  </TitlesOfParts>
  <Company>Eolane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MARZIN Pierre</dc:creator>
  <cp:lastModifiedBy>LEFORT Julien</cp:lastModifiedBy>
  <dcterms:created xsi:type="dcterms:W3CDTF">2017-02-21T10:00:47Z</dcterms:created>
  <dcterms:modified xsi:type="dcterms:W3CDTF">2020-09-04T15:57:14Z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0x01010079E8AD472ECDD54C89556B7B84D14B28</vt:lpwstr>
  </property>
</Properties>
</file>